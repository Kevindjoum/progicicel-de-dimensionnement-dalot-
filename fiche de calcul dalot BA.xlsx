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EMOIRE\"/>
    </mc:Choice>
  </mc:AlternateContent>
  <xr:revisionPtr revIDLastSave="0" documentId="8_{5C9EB506-593B-4B35-A7E7-05FCFA208938}" xr6:coauthVersionLast="47" xr6:coauthVersionMax="47" xr10:uidLastSave="{00000000-0000-0000-0000-000000000000}"/>
  <bookViews>
    <workbookView xWindow="-96" yWindow="0" windowWidth="11712" windowHeight="12336" xr2:uid="{9C9D6BE5-D638-49C2-A16D-142850D2FF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4" i="1" l="1"/>
  <c r="AC36" i="1"/>
  <c r="AC35" i="1"/>
  <c r="W36" i="1"/>
  <c r="W35" i="1"/>
  <c r="W34" i="1"/>
  <c r="AA36" i="1"/>
  <c r="AA35" i="1"/>
  <c r="AA34" i="1"/>
  <c r="AC29" i="1"/>
  <c r="AC28" i="1"/>
  <c r="AC27" i="1"/>
  <c r="AC26" i="1"/>
  <c r="AG24" i="1" s="1"/>
  <c r="Y24" i="1"/>
  <c r="Y23" i="1"/>
  <c r="F10" i="1"/>
  <c r="AK23" i="1"/>
  <c r="AF15" i="1"/>
  <c r="AF14" i="1"/>
  <c r="J24" i="1"/>
  <c r="J25" i="1"/>
  <c r="J28" i="1"/>
  <c r="J27" i="1"/>
  <c r="J26" i="1"/>
  <c r="AJ13" i="1" l="1"/>
  <c r="AJ16" i="1" s="1"/>
  <c r="X14" i="1"/>
  <c r="X15" i="1" s="1"/>
  <c r="N20" i="1"/>
  <c r="N19" i="1"/>
  <c r="N23" i="1" l="1"/>
  <c r="N21" i="1"/>
  <c r="N24" i="1"/>
  <c r="N22" i="1"/>
  <c r="N25" i="1" s="1"/>
  <c r="AF13" i="1" s="1"/>
  <c r="AF16" i="1" s="1"/>
  <c r="N26" i="1"/>
  <c r="AJ5" i="1" l="1"/>
  <c r="AB5" i="1"/>
  <c r="AF5" i="1"/>
  <c r="AF7" i="1"/>
  <c r="AB7" i="1"/>
  <c r="X5" i="1"/>
  <c r="X7" i="1"/>
  <c r="AJ6" i="1" l="1"/>
  <c r="AJ10" i="1" s="1"/>
  <c r="AJ7" i="1"/>
  <c r="AJ8" i="1"/>
  <c r="AF8" i="1"/>
  <c r="AB8" i="1"/>
  <c r="AB16" i="1" s="1"/>
  <c r="AF6" i="1"/>
  <c r="AF10" i="1" s="1"/>
  <c r="AF11" i="1"/>
  <c r="AB11" i="1"/>
  <c r="AB12" i="1" s="1"/>
  <c r="AB6" i="1"/>
  <c r="AB13" i="1" s="1"/>
  <c r="X8" i="1"/>
  <c r="X9" i="1" s="1"/>
  <c r="X11" i="1"/>
  <c r="X6" i="1"/>
  <c r="X10" i="1" s="1"/>
  <c r="AJ9" i="1" l="1"/>
  <c r="AJ11" i="1"/>
  <c r="AJ12" i="1" s="1"/>
  <c r="AB10" i="1"/>
  <c r="AB9" i="1"/>
  <c r="AF12" i="1"/>
  <c r="X13" i="1"/>
  <c r="X16" i="1" s="1"/>
  <c r="AF9" i="1"/>
  <c r="X12" i="1"/>
</calcChain>
</file>

<file path=xl/sharedStrings.xml><?xml version="1.0" encoding="utf-8"?>
<sst xmlns="http://schemas.openxmlformats.org/spreadsheetml/2006/main" count="166" uniqueCount="138">
  <si>
    <t>BETON</t>
  </si>
  <si>
    <t xml:space="preserve">ACIER </t>
  </si>
  <si>
    <t xml:space="preserve">designation </t>
  </si>
  <si>
    <t xml:space="preserve">symbole </t>
  </si>
  <si>
    <t xml:space="preserve">valeur </t>
  </si>
  <si>
    <t xml:space="preserve">unité </t>
  </si>
  <si>
    <t xml:space="preserve">DESIGNATION </t>
  </si>
  <si>
    <t xml:space="preserve">Largeur inrterne </t>
  </si>
  <si>
    <t xml:space="preserve">épaisseur dalle </t>
  </si>
  <si>
    <t xml:space="preserve">épaisssseur piédroits </t>
  </si>
  <si>
    <t xml:space="preserve">épaisseur radier </t>
  </si>
  <si>
    <t xml:space="preserve">Hauteur interne </t>
  </si>
  <si>
    <t xml:space="preserve">hauteur de calcul </t>
  </si>
  <si>
    <t xml:space="preserve">largeur de calcul </t>
  </si>
  <si>
    <t>momment d'inertie piédroits</t>
  </si>
  <si>
    <t>Li</t>
  </si>
  <si>
    <t>Hi</t>
  </si>
  <si>
    <t>e_dalle</t>
  </si>
  <si>
    <t>e_voile</t>
  </si>
  <si>
    <t>e_radier</t>
  </si>
  <si>
    <t>h</t>
  </si>
  <si>
    <t>l</t>
  </si>
  <si>
    <t>j1</t>
  </si>
  <si>
    <t>j2</t>
  </si>
  <si>
    <t>momment d'inertie radier</t>
  </si>
  <si>
    <t xml:space="preserve">moment d'innertie dalle </t>
  </si>
  <si>
    <t>j3</t>
  </si>
  <si>
    <t xml:space="preserve">m </t>
  </si>
  <si>
    <r>
      <t>m</t>
    </r>
    <r>
      <rPr>
        <vertAlign val="superscript"/>
        <sz val="11"/>
        <color theme="1"/>
        <rFont val="Calibri"/>
        <family val="2"/>
        <scheme val="minor"/>
      </rPr>
      <t>4</t>
    </r>
  </si>
  <si>
    <t>Symbole</t>
  </si>
  <si>
    <t>Valeur</t>
  </si>
  <si>
    <t>Résistance caractéristique à 28 j</t>
  </si>
  <si>
    <t>fckf_{ck}</t>
  </si>
  <si>
    <t>Résistance moyenne à la compression</t>
  </si>
  <si>
    <t>fcmf_{cm}</t>
  </si>
  <si>
    <t>Module d’élasticité</t>
  </si>
  <si>
    <t>EcE_c</t>
  </si>
  <si>
    <t>Masse volumique</t>
  </si>
  <si>
    <t>γc\gamma_c</t>
  </si>
  <si>
    <t>Coefficient de Poisson</t>
  </si>
  <si>
    <t>ν\nu</t>
  </si>
  <si>
    <t>Unité</t>
  </si>
  <si>
    <t>MPa</t>
  </si>
  <si>
    <t>kN/m³</t>
  </si>
  <si>
    <t>–</t>
  </si>
  <si>
    <t>Resistance caractéristiques à 28j</t>
  </si>
  <si>
    <t xml:space="preserve">Module d'elasticité </t>
  </si>
  <si>
    <t xml:space="preserve">Masse volumique </t>
  </si>
  <si>
    <t xml:space="preserve">Coéfficient de poisson </t>
  </si>
  <si>
    <t xml:space="preserve">Limite d'elasticité </t>
  </si>
  <si>
    <t xml:space="preserve">masse volumique </t>
  </si>
  <si>
    <t xml:space="preserve">poids volumique </t>
  </si>
  <si>
    <t xml:space="preserve">angle de frottément interne </t>
  </si>
  <si>
    <t>cohesion</t>
  </si>
  <si>
    <t xml:space="preserve">coef de poisson </t>
  </si>
  <si>
    <t>coef de poussé active</t>
  </si>
  <si>
    <t>Ka</t>
  </si>
  <si>
    <t>nu</t>
  </si>
  <si>
    <t>c</t>
  </si>
  <si>
    <t>gama</t>
  </si>
  <si>
    <t>phi</t>
  </si>
  <si>
    <t>k1</t>
  </si>
  <si>
    <t>k2</t>
  </si>
  <si>
    <t>K1</t>
  </si>
  <si>
    <t>K2</t>
  </si>
  <si>
    <t>K3</t>
  </si>
  <si>
    <t>K4</t>
  </si>
  <si>
    <t>F1</t>
  </si>
  <si>
    <t>F2</t>
  </si>
  <si>
    <t xml:space="preserve">CHARGES UNIFORMEMENT APPLIQUEE SUR LA DALLE </t>
  </si>
  <si>
    <t xml:space="preserve">CHARGES CONCENTREES EGALES EN B ET C </t>
  </si>
  <si>
    <t>MA</t>
  </si>
  <si>
    <t>MD</t>
  </si>
  <si>
    <t>MB</t>
  </si>
  <si>
    <t>MC</t>
  </si>
  <si>
    <t>M(A-D) (Radier)</t>
  </si>
  <si>
    <t xml:space="preserve">M(B-C) (Tablier) </t>
  </si>
  <si>
    <t>M(A-B) (piédroit gauche)</t>
  </si>
  <si>
    <t>M(C-D) ( Piédroit droit)</t>
  </si>
  <si>
    <t>S1</t>
  </si>
  <si>
    <t>S2</t>
  </si>
  <si>
    <t>S2'</t>
  </si>
  <si>
    <t>S3</t>
  </si>
  <si>
    <t>EFFORT NORMAUX</t>
  </si>
  <si>
    <t xml:space="preserve">MOMENTS </t>
  </si>
  <si>
    <t>DESIGNATION DE LA CHARGE SUR LE DALOT</t>
  </si>
  <si>
    <t xml:space="preserve">VALEUR </t>
  </si>
  <si>
    <t>q (KN/m)</t>
  </si>
  <si>
    <t>σ1(Mpa)</t>
  </si>
  <si>
    <t>σ2(Mpa)</t>
  </si>
  <si>
    <t>P (KN)</t>
  </si>
  <si>
    <t xml:space="preserve">CHARGE TRIANGULAIRE SYMETRIQUE SUR LES DEUX COTES </t>
  </si>
  <si>
    <t>σ(Mpa)</t>
  </si>
  <si>
    <t>CHARGE UNIFORME SUR LES DEUX COTES</t>
  </si>
  <si>
    <t xml:space="preserve">FORMULES DE CALCUL DES EFFORTS INTERNES EN FONCTION DU TYPE DE CHARGEMENT </t>
  </si>
  <si>
    <t xml:space="preserve">CARACTERISTIQUES DES MATERIAUX </t>
  </si>
  <si>
    <t>Paramètres  KLEINLOGEL</t>
  </si>
  <si>
    <t xml:space="preserve">DIMENSIONS ET CARACTERISTIQUES DU DALOT </t>
  </si>
  <si>
    <r>
      <t>KN/m</t>
    </r>
    <r>
      <rPr>
        <vertAlign val="superscript"/>
        <sz val="11"/>
        <color theme="1"/>
        <rFont val="Calibri"/>
        <family val="2"/>
        <scheme val="minor"/>
      </rPr>
      <t>3</t>
    </r>
  </si>
  <si>
    <t>°</t>
  </si>
  <si>
    <t>Kpa</t>
  </si>
  <si>
    <t xml:space="preserve">SOL DE POUSSEE </t>
  </si>
  <si>
    <t>CHARGES DE REMBLAIS AU DESSUS DU TABLIER</t>
  </si>
  <si>
    <t>Designation</t>
  </si>
  <si>
    <t xml:space="preserve">Terre </t>
  </si>
  <si>
    <t>Chaussée</t>
  </si>
  <si>
    <t xml:space="preserve">autre </t>
  </si>
  <si>
    <t>charge q (KN)</t>
  </si>
  <si>
    <t>epaisseur(m)</t>
  </si>
  <si>
    <t xml:space="preserve">POUSSEE LATTERALE DES TERRES </t>
  </si>
  <si>
    <t xml:space="preserve">Hauteur totale des remblais </t>
  </si>
  <si>
    <t>coef de poussée Ka</t>
  </si>
  <si>
    <r>
      <t>Poids volumique (KN/m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</si>
  <si>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valeurs</t>
  </si>
  <si>
    <r>
      <t>Poids vol (KN/m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</si>
  <si>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 xml:space="preserve">Designation </t>
  </si>
  <si>
    <t>valeur</t>
  </si>
  <si>
    <t>SURCHARGE ROUTIERE SUR LES PIEDROITS</t>
  </si>
  <si>
    <t xml:space="preserve">pression latérale σ(Mpa) </t>
  </si>
  <si>
    <t>angle de frottement interne(°)</t>
  </si>
  <si>
    <t>Charges q (KN)</t>
  </si>
  <si>
    <t xml:space="preserve">POIDS DES PIEDROITS </t>
  </si>
  <si>
    <t>Désignation</t>
  </si>
  <si>
    <t>Poids propre piedroit P(KN)</t>
  </si>
  <si>
    <t xml:space="preserve">Mpa </t>
  </si>
  <si>
    <t>Gpa</t>
  </si>
  <si>
    <r>
      <t>KN/m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</si>
  <si>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Resistance dimensionnement </t>
  </si>
  <si>
    <t xml:space="preserve">CHARGES ROUTIRES </t>
  </si>
  <si>
    <t>Système de charge Bt</t>
  </si>
  <si>
    <t xml:space="preserve">Système de charge Bc </t>
  </si>
  <si>
    <t>Sytème de charge Br</t>
  </si>
  <si>
    <t>Surface d'influence du pneu</t>
  </si>
  <si>
    <t>Valeur de la charge (KN/m²)</t>
  </si>
  <si>
    <t>FORCE GRAVITATIONELLE</t>
  </si>
  <si>
    <t>N/m²</t>
  </si>
  <si>
    <t>Coef de charge (bc, bt)</t>
  </si>
  <si>
    <t>Valeur de la charge sur un essieu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</si>
</sst>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FCFA&quot;;[Red]\-#,##0\ &quot;FCFA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2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6" borderId="2" xfId="0" applyFont="1" applyFill="1" applyBorder="1" applyAlignment="1">
      <alignment horizontal="center"/>
    </xf>
    <xf numFmtId="0" fontId="1" fillId="5" borderId="2" xfId="0" applyFont="1" applyFill="1" applyBorder="1"/>
    <xf numFmtId="0" fontId="0" fillId="8" borderId="2" xfId="0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0" fillId="4" borderId="2" xfId="0" applyFill="1" applyBorder="1"/>
    <xf numFmtId="0" fontId="0" fillId="12" borderId="2" xfId="0" applyFill="1" applyBorder="1"/>
    <xf numFmtId="6" fontId="1" fillId="0" borderId="0" xfId="0" applyNumberFormat="1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9" borderId="2" xfId="0" applyFont="1" applyFill="1" applyBorder="1"/>
    <xf numFmtId="0" fontId="1" fillId="9" borderId="3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6" fontId="1" fillId="9" borderId="2" xfId="0" applyNumberFormat="1" applyFont="1" applyFill="1" applyBorder="1"/>
    <xf numFmtId="6" fontId="1" fillId="9" borderId="3" xfId="0" applyNumberFormat="1" applyFont="1" applyFill="1" applyBorder="1"/>
    <xf numFmtId="0" fontId="0" fillId="13" borderId="2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5" borderId="2" xfId="0" applyFill="1" applyBorder="1"/>
    <xf numFmtId="0" fontId="0" fillId="7" borderId="2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509706</xdr:colOff>
      <xdr:row>30</xdr:row>
      <xdr:rowOff>106939</xdr:rowOff>
    </xdr:from>
    <xdr:to>
      <xdr:col>19</xdr:col>
      <xdr:colOff>203633</xdr:colOff>
      <xdr:row>48</xdr:row>
      <xdr:rowOff>239049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2DE6A8D-D402-8B4C-89EA-C921D4BF1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1820" y="8303882"/>
          <a:ext cx="6051184" cy="3900745"/>
        </a:xfrm>
        <a:prstGeom prst="rect">
          <a:avLst/>
        </a:prstGeom>
      </xdr:spPr>
    </xdr:pic>
    <xdr:clientData/>
  </xdr:twoCellAnchor>
  <xdr:twoCellAnchor editAs="oneCell">
    <xdr:from>
      <xdr:col>3</xdr:col>
      <xdr:colOff>699247</xdr:colOff>
      <xdr:row>31</xdr:row>
      <xdr:rowOff>161365</xdr:rowOff>
    </xdr:from>
    <xdr:to>
      <xdr:col>11</xdr:col>
      <xdr:colOff>186072</xdr:colOff>
      <xdr:row>42</xdr:row>
      <xdr:rowOff>87759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6BE1C2C-DFE3-9210-4682-61B633936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5929" y="7871012"/>
          <a:ext cx="5806943" cy="1874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D7BF-5080-4024-9112-1C9ACF7AE968}">
  <dimension ref="B1:AO52"/>
  <sheetViews>
    <sheetView tabSelected="1" topLeftCell="X10" zoomScale="85" zoomScaleNormal="85" workbookViewId="0">
      <selection activeCell="AD37" sqref="AD37"/>
    </sheetView>
  </sheetViews>
  <sheetFormatPr baseColWidth="10" defaultRowHeight="14.4" x14ac:dyDescent="0.3"/>
  <cols>
    <col min="4" max="4" width="11.6640625" customWidth="1"/>
    <col min="20" max="20" width="6.33203125" customWidth="1"/>
    <col min="21" max="21" width="17.88671875" customWidth="1"/>
    <col min="22" max="22" width="13" customWidth="1"/>
    <col min="24" max="24" width="23.21875" customWidth="1"/>
    <col min="25" max="25" width="12.44140625" customWidth="1"/>
    <col min="28" max="28" width="14.6640625" customWidth="1"/>
    <col min="30" max="30" width="15" customWidth="1"/>
    <col min="31" max="31" width="17.44140625" customWidth="1"/>
    <col min="36" max="36" width="14.44140625" customWidth="1"/>
  </cols>
  <sheetData>
    <row r="1" spans="2:41" x14ac:dyDescent="0.3">
      <c r="X1" s="30" t="s">
        <v>94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</row>
    <row r="2" spans="2:41" x14ac:dyDescent="0.3">
      <c r="X2" s="20" t="s">
        <v>69</v>
      </c>
      <c r="Y2" s="20"/>
      <c r="Z2" s="20"/>
      <c r="AA2" s="20"/>
      <c r="AB2" s="32" t="s">
        <v>91</v>
      </c>
      <c r="AC2" s="32"/>
      <c r="AD2" s="32"/>
      <c r="AE2" s="32"/>
      <c r="AF2" s="19" t="s">
        <v>70</v>
      </c>
      <c r="AG2" s="19"/>
      <c r="AH2" s="19"/>
      <c r="AI2" s="19"/>
      <c r="AJ2" s="33" t="s">
        <v>93</v>
      </c>
      <c r="AK2" s="33"/>
      <c r="AL2" s="33"/>
      <c r="AM2" s="33"/>
    </row>
    <row r="3" spans="2:41" x14ac:dyDescent="0.3">
      <c r="B3" s="43" t="s">
        <v>95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2"/>
      <c r="U3" s="27" t="s">
        <v>85</v>
      </c>
      <c r="V3" s="27"/>
      <c r="W3" s="27"/>
      <c r="X3" s="15" t="s">
        <v>87</v>
      </c>
      <c r="Y3" s="15"/>
      <c r="Z3" s="15"/>
      <c r="AA3" s="15"/>
      <c r="AB3" s="28" t="s">
        <v>88</v>
      </c>
      <c r="AC3" s="29"/>
      <c r="AD3" s="28" t="s">
        <v>89</v>
      </c>
      <c r="AE3" s="29"/>
      <c r="AF3" s="15" t="s">
        <v>90</v>
      </c>
      <c r="AG3" s="15"/>
      <c r="AH3" s="15"/>
      <c r="AI3" s="15"/>
      <c r="AJ3" s="15" t="s">
        <v>92</v>
      </c>
      <c r="AK3" s="15"/>
      <c r="AL3" s="15"/>
      <c r="AM3" s="15"/>
    </row>
    <row r="4" spans="2:41" x14ac:dyDescent="0.3">
      <c r="B4" s="52" t="s">
        <v>0</v>
      </c>
      <c r="C4" s="52"/>
      <c r="D4" s="52"/>
      <c r="E4" s="52"/>
      <c r="F4" s="52"/>
      <c r="G4" s="52"/>
      <c r="H4" s="53" t="s">
        <v>1</v>
      </c>
      <c r="I4" s="53"/>
      <c r="J4" s="53"/>
      <c r="K4" s="53"/>
      <c r="L4" s="53"/>
      <c r="M4" s="53"/>
      <c r="N4" s="54" t="s">
        <v>101</v>
      </c>
      <c r="O4" s="54"/>
      <c r="P4" s="54"/>
      <c r="Q4" s="54"/>
      <c r="R4" s="54"/>
      <c r="S4" s="54"/>
      <c r="T4" s="9"/>
      <c r="U4" s="27" t="s">
        <v>86</v>
      </c>
      <c r="V4" s="27"/>
      <c r="W4" s="27"/>
      <c r="X4" s="31">
        <v>125</v>
      </c>
      <c r="Y4" s="31"/>
      <c r="Z4" s="31"/>
      <c r="AA4" s="31"/>
      <c r="AB4" s="17">
        <v>10</v>
      </c>
      <c r="AC4" s="18"/>
      <c r="AD4" s="17">
        <v>10</v>
      </c>
      <c r="AE4" s="18"/>
      <c r="AF4" s="31">
        <v>20</v>
      </c>
      <c r="AG4" s="31"/>
      <c r="AH4" s="31"/>
      <c r="AI4" s="31"/>
      <c r="AJ4" s="31">
        <v>10</v>
      </c>
      <c r="AK4" s="31"/>
      <c r="AL4" s="31"/>
      <c r="AM4" s="31"/>
    </row>
    <row r="5" spans="2:41" x14ac:dyDescent="0.3">
      <c r="B5" s="49" t="s">
        <v>2</v>
      </c>
      <c r="C5" s="50"/>
      <c r="D5" s="51"/>
      <c r="E5" s="7" t="s">
        <v>3</v>
      </c>
      <c r="F5" s="7" t="s">
        <v>4</v>
      </c>
      <c r="G5" s="7" t="s">
        <v>5</v>
      </c>
      <c r="H5" s="49" t="s">
        <v>2</v>
      </c>
      <c r="I5" s="50"/>
      <c r="J5" s="51"/>
      <c r="K5" s="7" t="s">
        <v>3</v>
      </c>
      <c r="L5" s="7" t="s">
        <v>4</v>
      </c>
      <c r="M5" s="7" t="s">
        <v>5</v>
      </c>
      <c r="N5" s="49" t="s">
        <v>2</v>
      </c>
      <c r="O5" s="50"/>
      <c r="P5" s="51"/>
      <c r="Q5" s="7" t="s">
        <v>3</v>
      </c>
      <c r="R5" s="7" t="s">
        <v>4</v>
      </c>
      <c r="S5" s="7" t="s">
        <v>5</v>
      </c>
      <c r="T5" s="10"/>
      <c r="U5" s="34" t="s">
        <v>84</v>
      </c>
      <c r="V5" s="25" t="s">
        <v>71</v>
      </c>
      <c r="W5" s="26"/>
      <c r="X5" s="16">
        <f>((-X4*J25^2)/(4*N25))*(N19*N21-N22)</f>
        <v>-26.666275068407302</v>
      </c>
      <c r="Y5" s="16"/>
      <c r="Z5" s="16"/>
      <c r="AA5" s="16"/>
      <c r="AB5" s="16">
        <f>-(N20*(N20+3)*AB4*J24^2)/(4*N25)-(N20*(3*N20+8)*(AD4-AB4)*J24^2)/(20*N25)</f>
        <v>-0.1986125490109697</v>
      </c>
      <c r="AC5" s="16"/>
      <c r="AD5" s="16"/>
      <c r="AE5" s="16"/>
      <c r="AF5" s="16">
        <f>-(AF4*J25*N19*N21)/(2*N25)</f>
        <v>-8.9221747409332757</v>
      </c>
      <c r="AG5" s="16"/>
      <c r="AH5" s="16"/>
      <c r="AI5" s="16"/>
      <c r="AJ5" s="16">
        <f>-(N20*(N20+3)*AJ4*J24^2)/(4*N25)</f>
        <v>-0.1986125490109697</v>
      </c>
      <c r="AK5" s="16"/>
      <c r="AL5" s="16"/>
      <c r="AM5" s="16"/>
      <c r="AN5" s="13"/>
      <c r="AO5" s="13"/>
    </row>
    <row r="6" spans="2:41" ht="16.2" x14ac:dyDescent="0.3">
      <c r="B6" s="28" t="s">
        <v>45</v>
      </c>
      <c r="C6" s="45"/>
      <c r="D6" s="29"/>
      <c r="E6" s="1"/>
      <c r="F6" s="12">
        <v>25</v>
      </c>
      <c r="G6" s="1" t="s">
        <v>124</v>
      </c>
      <c r="H6" s="28" t="s">
        <v>49</v>
      </c>
      <c r="I6" s="45"/>
      <c r="J6" s="29"/>
      <c r="K6" s="1"/>
      <c r="L6" s="12"/>
      <c r="M6" s="1"/>
      <c r="N6" s="28" t="s">
        <v>51</v>
      </c>
      <c r="O6" s="45"/>
      <c r="P6" s="29"/>
      <c r="Q6" s="1" t="s">
        <v>59</v>
      </c>
      <c r="R6" s="12">
        <v>18</v>
      </c>
      <c r="S6" s="1" t="s">
        <v>98</v>
      </c>
      <c r="U6" s="34"/>
      <c r="V6" s="21" t="s">
        <v>72</v>
      </c>
      <c r="W6" s="22"/>
      <c r="X6" s="16">
        <f>X5</f>
        <v>-26.666275068407302</v>
      </c>
      <c r="Y6" s="16"/>
      <c r="Z6" s="16"/>
      <c r="AA6" s="16"/>
      <c r="AB6" s="16">
        <f>AB5</f>
        <v>-0.1986125490109697</v>
      </c>
      <c r="AC6" s="16"/>
      <c r="AD6" s="16"/>
      <c r="AE6" s="16"/>
      <c r="AF6" s="16">
        <f>AF5</f>
        <v>-8.9221747409332757</v>
      </c>
      <c r="AG6" s="16"/>
      <c r="AH6" s="16"/>
      <c r="AI6" s="16"/>
      <c r="AJ6" s="16">
        <f>AJ5</f>
        <v>-0.1986125490109697</v>
      </c>
      <c r="AK6" s="16"/>
      <c r="AL6" s="16"/>
      <c r="AM6" s="16"/>
      <c r="AN6" s="10"/>
      <c r="AO6" s="10"/>
    </row>
    <row r="7" spans="2:41" x14ac:dyDescent="0.3">
      <c r="B7" s="28" t="s">
        <v>46</v>
      </c>
      <c r="C7" s="45"/>
      <c r="D7" s="29"/>
      <c r="E7" s="1"/>
      <c r="F7" s="12">
        <v>22</v>
      </c>
      <c r="G7" s="1" t="s">
        <v>125</v>
      </c>
      <c r="H7" s="28" t="s">
        <v>50</v>
      </c>
      <c r="I7" s="45"/>
      <c r="J7" s="29"/>
      <c r="K7" s="1"/>
      <c r="L7" s="12"/>
      <c r="M7" s="1"/>
      <c r="N7" s="28" t="s">
        <v>52</v>
      </c>
      <c r="O7" s="45"/>
      <c r="P7" s="29"/>
      <c r="Q7" s="1" t="s">
        <v>60</v>
      </c>
      <c r="R7" s="12">
        <v>45</v>
      </c>
      <c r="S7" s="1" t="s">
        <v>99</v>
      </c>
      <c r="U7" s="34"/>
      <c r="V7" s="21" t="s">
        <v>73</v>
      </c>
      <c r="W7" s="22"/>
      <c r="X7" s="16">
        <f>((-X4*J25^2)/(4*N25))*(N22-N19*N20)</f>
        <v>-43.608382160741328</v>
      </c>
      <c r="Y7" s="16"/>
      <c r="Z7" s="16"/>
      <c r="AA7" s="16"/>
      <c r="AB7" s="16">
        <f>-(N20*(N20+3*N19)*AB4*J24^2)/(4*N25)-(N20*(2*N20+7*N19)*(AD4-AB4)*J24^2)/(20*N25)</f>
        <v>-0.54313873959205239</v>
      </c>
      <c r="AC7" s="16"/>
      <c r="AD7" s="16"/>
      <c r="AE7" s="16"/>
      <c r="AF7" s="16">
        <f>(AF4*J25*N19*N20)/(2*N25)</f>
        <v>1.8947090180184143</v>
      </c>
      <c r="AG7" s="16"/>
      <c r="AH7" s="16"/>
      <c r="AI7" s="16"/>
      <c r="AJ7" s="16">
        <f>AJ5</f>
        <v>-0.1986125490109697</v>
      </c>
      <c r="AK7" s="16"/>
      <c r="AL7" s="16"/>
      <c r="AM7" s="16"/>
      <c r="AN7" s="10"/>
      <c r="AO7" s="10"/>
    </row>
    <row r="8" spans="2:41" ht="16.2" x14ac:dyDescent="0.3">
      <c r="B8" s="28" t="s">
        <v>47</v>
      </c>
      <c r="C8" s="45"/>
      <c r="D8" s="29"/>
      <c r="E8" s="1"/>
      <c r="F8" s="12">
        <v>25</v>
      </c>
      <c r="G8" s="1" t="s">
        <v>126</v>
      </c>
      <c r="H8" s="46"/>
      <c r="I8" s="47"/>
      <c r="J8" s="48"/>
      <c r="K8" s="1"/>
      <c r="L8" s="12"/>
      <c r="M8" s="1"/>
      <c r="N8" s="28" t="s">
        <v>53</v>
      </c>
      <c r="O8" s="45"/>
      <c r="P8" s="29"/>
      <c r="Q8" s="1" t="s">
        <v>58</v>
      </c>
      <c r="R8" s="12">
        <v>20</v>
      </c>
      <c r="S8" s="1" t="s">
        <v>100</v>
      </c>
      <c r="U8" s="34"/>
      <c r="V8" s="21" t="s">
        <v>74</v>
      </c>
      <c r="W8" s="22"/>
      <c r="X8" s="16">
        <f>X7</f>
        <v>-43.608382160741328</v>
      </c>
      <c r="Y8" s="16"/>
      <c r="Z8" s="16"/>
      <c r="AA8" s="16"/>
      <c r="AB8" s="16">
        <f>AB7</f>
        <v>-0.54313873959205239</v>
      </c>
      <c r="AC8" s="16"/>
      <c r="AD8" s="16"/>
      <c r="AE8" s="16"/>
      <c r="AF8" s="16">
        <f>AF7</f>
        <v>1.8947090180184143</v>
      </c>
      <c r="AG8" s="16"/>
      <c r="AH8" s="16"/>
      <c r="AI8" s="16"/>
      <c r="AJ8" s="16">
        <f>AJ5</f>
        <v>-0.1986125490109697</v>
      </c>
      <c r="AK8" s="16"/>
      <c r="AL8" s="16"/>
      <c r="AM8" s="16"/>
      <c r="AN8" s="10"/>
      <c r="AO8" s="10"/>
    </row>
    <row r="9" spans="2:41" x14ac:dyDescent="0.3">
      <c r="B9" s="28" t="s">
        <v>48</v>
      </c>
      <c r="C9" s="45"/>
      <c r="D9" s="29"/>
      <c r="E9" s="1"/>
      <c r="F9" s="12">
        <v>0.3</v>
      </c>
      <c r="G9" s="1"/>
      <c r="H9" s="46"/>
      <c r="I9" s="47"/>
      <c r="J9" s="48"/>
      <c r="K9" s="1"/>
      <c r="L9" s="12"/>
      <c r="M9" s="1"/>
      <c r="N9" s="28" t="s">
        <v>54</v>
      </c>
      <c r="O9" s="45"/>
      <c r="P9" s="29"/>
      <c r="Q9" s="1" t="s">
        <v>57</v>
      </c>
      <c r="R9" s="12">
        <v>0.3</v>
      </c>
      <c r="S9" s="1"/>
      <c r="U9" s="34"/>
      <c r="V9" s="21" t="s">
        <v>76</v>
      </c>
      <c r="W9" s="22"/>
      <c r="X9" s="16">
        <f>(X7+X8)/2+(X4*J25^2)/8</f>
        <v>116.3916178392587</v>
      </c>
      <c r="Y9" s="16"/>
      <c r="Z9" s="16"/>
      <c r="AA9" s="16"/>
      <c r="AB9" s="16">
        <f>(AB7+AB8)/2</f>
        <v>-0.54313873959205239</v>
      </c>
      <c r="AC9" s="16"/>
      <c r="AD9" s="16"/>
      <c r="AE9" s="16"/>
      <c r="AF9" s="16">
        <f>(AF7+AF8)/2</f>
        <v>1.8947090180184143</v>
      </c>
      <c r="AG9" s="16"/>
      <c r="AH9" s="16"/>
      <c r="AI9" s="16"/>
      <c r="AJ9" s="16">
        <f>(AJ7+AJ8)/2</f>
        <v>-0.1986125490109697</v>
      </c>
      <c r="AK9" s="16"/>
      <c r="AL9" s="16"/>
      <c r="AM9" s="16"/>
      <c r="AN9" s="10"/>
      <c r="AO9" s="10"/>
    </row>
    <row r="10" spans="2:41" x14ac:dyDescent="0.3">
      <c r="B10" s="46" t="s">
        <v>127</v>
      </c>
      <c r="C10" s="47"/>
      <c r="D10" s="48"/>
      <c r="E10" s="1"/>
      <c r="F10" s="12">
        <f>(0.85*F6)/1.5</f>
        <v>14.166666666666666</v>
      </c>
      <c r="G10" s="1" t="s">
        <v>124</v>
      </c>
      <c r="H10" s="46"/>
      <c r="I10" s="47"/>
      <c r="J10" s="48"/>
      <c r="K10" s="1"/>
      <c r="L10" s="12"/>
      <c r="M10" s="1"/>
      <c r="N10" s="28" t="s">
        <v>55</v>
      </c>
      <c r="O10" s="45"/>
      <c r="P10" s="29"/>
      <c r="Q10" s="1" t="s">
        <v>56</v>
      </c>
      <c r="R10" s="12">
        <v>0.33</v>
      </c>
      <c r="S10" s="1"/>
      <c r="U10" s="34"/>
      <c r="V10" s="21" t="s">
        <v>75</v>
      </c>
      <c r="W10" s="22"/>
      <c r="X10" s="16">
        <f>(X5+X6)/2+(X4*J25^2)/2</f>
        <v>613.33372493159277</v>
      </c>
      <c r="Y10" s="16"/>
      <c r="Z10" s="16"/>
      <c r="AA10" s="16"/>
      <c r="AB10" s="16">
        <f>(AB5+AB6)/2</f>
        <v>-0.1986125490109697</v>
      </c>
      <c r="AC10" s="16"/>
      <c r="AD10" s="16"/>
      <c r="AE10" s="16"/>
      <c r="AF10" s="16">
        <f>(AF5+AF6)/2+(AF4*J25)/4</f>
        <v>7.0778252590667243</v>
      </c>
      <c r="AG10" s="16"/>
      <c r="AH10" s="16"/>
      <c r="AI10" s="16"/>
      <c r="AJ10" s="16">
        <f>(AJ5+AJ6)/2</f>
        <v>-0.1986125490109697</v>
      </c>
      <c r="AK10" s="16"/>
      <c r="AL10" s="16"/>
      <c r="AM10" s="16"/>
      <c r="AN10" s="10"/>
      <c r="AO10" s="10"/>
    </row>
    <row r="11" spans="2:41" x14ac:dyDescent="0.3">
      <c r="B11" s="46"/>
      <c r="C11" s="47"/>
      <c r="D11" s="48"/>
      <c r="E11" s="1"/>
      <c r="F11" s="12"/>
      <c r="G11" s="1"/>
      <c r="H11" s="46"/>
      <c r="I11" s="47"/>
      <c r="J11" s="48"/>
      <c r="K11" s="1"/>
      <c r="L11" s="12"/>
      <c r="M11" s="1"/>
      <c r="N11" s="46"/>
      <c r="O11" s="47"/>
      <c r="P11" s="48"/>
      <c r="Q11" s="1"/>
      <c r="R11" s="12"/>
      <c r="S11" s="1"/>
      <c r="U11" s="34"/>
      <c r="V11" s="21" t="s">
        <v>77</v>
      </c>
      <c r="W11" s="22"/>
      <c r="X11" s="16">
        <f>(X5+X7)/2</f>
        <v>-35.137328614574315</v>
      </c>
      <c r="Y11" s="16"/>
      <c r="Z11" s="16"/>
      <c r="AA11" s="16"/>
      <c r="AB11" s="16">
        <f>(AB5+AB7)/2+(AD4-AB4)*J24^2*(1/12)+(AB4*J24^2)/8</f>
        <v>1.0072493556984889</v>
      </c>
      <c r="AC11" s="16"/>
      <c r="AD11" s="16"/>
      <c r="AE11" s="16"/>
      <c r="AF11" s="16">
        <f>(AF5+AF7)/2</f>
        <v>-3.5137328614574308</v>
      </c>
      <c r="AG11" s="16"/>
      <c r="AH11" s="16"/>
      <c r="AI11" s="16"/>
      <c r="AJ11" s="16">
        <f>(AJ4*J24^2)/8+(AJ5+AJ7)/2</f>
        <v>1.1795124509890305</v>
      </c>
      <c r="AK11" s="16"/>
      <c r="AL11" s="16"/>
      <c r="AM11" s="16"/>
      <c r="AN11" s="10"/>
      <c r="AO11" s="10"/>
    </row>
    <row r="12" spans="2:41" x14ac:dyDescent="0.3">
      <c r="B12" s="44"/>
      <c r="C12" s="44"/>
      <c r="D12" s="44"/>
      <c r="H12" s="44"/>
      <c r="I12" s="44"/>
      <c r="J12" s="44"/>
      <c r="N12" s="44"/>
      <c r="O12" s="44"/>
      <c r="P12" s="44"/>
      <c r="U12" s="34"/>
      <c r="V12" s="21" t="s">
        <v>78</v>
      </c>
      <c r="W12" s="22"/>
      <c r="X12" s="16">
        <f>( X8+X6)/2</f>
        <v>-35.137328614574315</v>
      </c>
      <c r="Y12" s="16"/>
      <c r="Z12" s="16"/>
      <c r="AA12" s="16"/>
      <c r="AB12" s="16">
        <f>AB11</f>
        <v>1.0072493556984889</v>
      </c>
      <c r="AC12" s="16"/>
      <c r="AD12" s="16"/>
      <c r="AE12" s="16"/>
      <c r="AF12" s="16">
        <f>(AF8+AF6)/2</f>
        <v>-3.5137328614574308</v>
      </c>
      <c r="AG12" s="16"/>
      <c r="AH12" s="16"/>
      <c r="AI12" s="16"/>
      <c r="AJ12" s="16">
        <f>AJ11</f>
        <v>1.1795124509890305</v>
      </c>
      <c r="AK12" s="16"/>
      <c r="AL12" s="16"/>
      <c r="AM12" s="16"/>
      <c r="AN12" s="10"/>
      <c r="AO12" s="10"/>
    </row>
    <row r="13" spans="2:41" x14ac:dyDescent="0.3">
      <c r="B13" s="19" t="s">
        <v>134</v>
      </c>
      <c r="C13" s="19"/>
      <c r="D13" s="19"/>
      <c r="E13" s="12">
        <v>9.81</v>
      </c>
      <c r="F13" s="1" t="s">
        <v>135</v>
      </c>
      <c r="H13" s="44"/>
      <c r="I13" s="44"/>
      <c r="J13" s="44"/>
      <c r="N13" s="44"/>
      <c r="O13" s="44"/>
      <c r="P13" s="44"/>
      <c r="U13" s="35" t="s">
        <v>83</v>
      </c>
      <c r="V13" s="23" t="s">
        <v>79</v>
      </c>
      <c r="W13" s="24"/>
      <c r="X13" s="16">
        <f>(X7-X8)/J24</f>
        <v>0</v>
      </c>
      <c r="Y13" s="16"/>
      <c r="Z13" s="16"/>
      <c r="AA13" s="16"/>
      <c r="AB13" s="16">
        <f>((AB4+2*AD4)*J24)/6+(AB7-AB5)/J24+(AB6-AB5)/J25</f>
        <v>4.9218798184942072</v>
      </c>
      <c r="AC13" s="16"/>
      <c r="AD13" s="16"/>
      <c r="AE13" s="16"/>
      <c r="AF13" s="16">
        <f>(3*AF4*J25*N19*(1+N20))/(2*J24*N25)</f>
        <v>10.301794056144466</v>
      </c>
      <c r="AG13" s="16"/>
      <c r="AH13" s="16"/>
      <c r="AI13" s="16"/>
      <c r="AJ13" s="16">
        <f>(AJ4*J24)/2</f>
        <v>5.25</v>
      </c>
      <c r="AK13" s="16"/>
      <c r="AL13" s="16"/>
      <c r="AM13" s="16"/>
      <c r="AN13" s="10"/>
      <c r="AO13" s="10"/>
    </row>
    <row r="14" spans="2:41" x14ac:dyDescent="0.3">
      <c r="B14" s="44"/>
      <c r="C14" s="44"/>
      <c r="D14" s="44"/>
      <c r="H14" s="44"/>
      <c r="I14" s="44"/>
      <c r="J14" s="44"/>
      <c r="N14" s="44"/>
      <c r="O14" s="44"/>
      <c r="P14" s="44"/>
      <c r="U14" s="35"/>
      <c r="V14" s="23" t="s">
        <v>80</v>
      </c>
      <c r="W14" s="24"/>
      <c r="X14" s="16">
        <f>(X4*J25)/2</f>
        <v>200</v>
      </c>
      <c r="Y14" s="16"/>
      <c r="Z14" s="16"/>
      <c r="AA14" s="16"/>
      <c r="AB14" s="16">
        <v>0</v>
      </c>
      <c r="AC14" s="16"/>
      <c r="AD14" s="16"/>
      <c r="AE14" s="16"/>
      <c r="AF14" s="16">
        <f>AF4</f>
        <v>20</v>
      </c>
      <c r="AG14" s="16"/>
      <c r="AH14" s="16"/>
      <c r="AI14" s="16"/>
      <c r="AJ14" s="16">
        <v>0</v>
      </c>
      <c r="AK14" s="16"/>
      <c r="AL14" s="16"/>
      <c r="AM14" s="16"/>
      <c r="AN14" s="10"/>
      <c r="AO14" s="10"/>
    </row>
    <row r="15" spans="2:41" x14ac:dyDescent="0.3">
      <c r="B15" s="44"/>
      <c r="C15" s="44"/>
      <c r="D15" s="44"/>
      <c r="H15" s="44"/>
      <c r="I15" s="44"/>
      <c r="J15" s="44"/>
      <c r="N15" s="44"/>
      <c r="O15" s="44"/>
      <c r="P15" s="44"/>
      <c r="U15" s="35"/>
      <c r="V15" s="23" t="s">
        <v>81</v>
      </c>
      <c r="W15" s="24"/>
      <c r="X15" s="16">
        <f>X14</f>
        <v>200</v>
      </c>
      <c r="Y15" s="16"/>
      <c r="Z15" s="16"/>
      <c r="AA15" s="16"/>
      <c r="AB15" s="16">
        <v>0</v>
      </c>
      <c r="AC15" s="16"/>
      <c r="AD15" s="16"/>
      <c r="AE15" s="16"/>
      <c r="AF15" s="16">
        <f>AF4</f>
        <v>20</v>
      </c>
      <c r="AG15" s="16"/>
      <c r="AH15" s="16"/>
      <c r="AI15" s="16"/>
      <c r="AJ15" s="16">
        <v>0</v>
      </c>
      <c r="AK15" s="16"/>
      <c r="AL15" s="16"/>
      <c r="AM15" s="16"/>
      <c r="AN15" s="10"/>
      <c r="AO15" s="10"/>
    </row>
    <row r="16" spans="2:41" x14ac:dyDescent="0.3">
      <c r="B16" s="44"/>
      <c r="C16" s="44"/>
      <c r="D16" s="44"/>
      <c r="H16" s="44"/>
      <c r="I16" s="44"/>
      <c r="J16" s="44"/>
      <c r="N16" s="44"/>
      <c r="O16" s="44"/>
      <c r="P16" s="44"/>
      <c r="U16" s="35"/>
      <c r="V16" s="23" t="s">
        <v>82</v>
      </c>
      <c r="W16" s="24"/>
      <c r="X16" s="16">
        <f>-X13</f>
        <v>0</v>
      </c>
      <c r="Y16" s="16"/>
      <c r="Z16" s="16"/>
      <c r="AA16" s="16"/>
      <c r="AB16" s="16">
        <f>((2*AB4+AD4)*J24)/6+(AB5-AB7)/J24+(AB8-AB7)/J25</f>
        <v>5.5781201815057928</v>
      </c>
      <c r="AC16" s="16"/>
      <c r="AD16" s="16"/>
      <c r="AE16" s="16"/>
      <c r="AF16" s="16">
        <f>-AF13</f>
        <v>-10.301794056144466</v>
      </c>
      <c r="AG16" s="16"/>
      <c r="AH16" s="16"/>
      <c r="AI16" s="16"/>
      <c r="AJ16" s="16">
        <f>AJ13</f>
        <v>5.25</v>
      </c>
      <c r="AK16" s="16"/>
      <c r="AL16" s="16"/>
      <c r="AM16" s="16"/>
      <c r="AN16" s="10"/>
      <c r="AO16" s="10"/>
    </row>
    <row r="17" spans="5:37" x14ac:dyDescent="0.3">
      <c r="E17" s="19" t="s">
        <v>97</v>
      </c>
      <c r="F17" s="19"/>
      <c r="G17" s="19"/>
      <c r="H17" s="19"/>
      <c r="I17" s="19"/>
      <c r="J17" s="19"/>
      <c r="K17" s="19"/>
      <c r="L17" s="2"/>
      <c r="M17" s="2"/>
      <c r="N17" s="2"/>
      <c r="O17" s="2"/>
      <c r="P17" s="2"/>
    </row>
    <row r="18" spans="5:37" x14ac:dyDescent="0.3">
      <c r="E18" s="42" t="s">
        <v>6</v>
      </c>
      <c r="F18" s="42"/>
      <c r="G18" s="42"/>
      <c r="H18" s="42"/>
      <c r="I18" s="6" t="s">
        <v>3</v>
      </c>
      <c r="J18" s="6" t="s">
        <v>4</v>
      </c>
      <c r="K18" s="6" t="s">
        <v>5</v>
      </c>
      <c r="M18" s="20" t="s">
        <v>96</v>
      </c>
      <c r="N18" s="20"/>
    </row>
    <row r="19" spans="5:37" x14ac:dyDescent="0.3">
      <c r="E19" s="36" t="s">
        <v>7</v>
      </c>
      <c r="F19" s="37"/>
      <c r="G19" s="37"/>
      <c r="H19" s="38"/>
      <c r="I19" s="1" t="s">
        <v>15</v>
      </c>
      <c r="J19" s="12">
        <v>3</v>
      </c>
      <c r="K19" s="1" t="s">
        <v>27</v>
      </c>
      <c r="M19" s="8" t="s">
        <v>61</v>
      </c>
      <c r="N19" s="11">
        <f>J28/J26</f>
        <v>3.3749999999999987</v>
      </c>
    </row>
    <row r="20" spans="5:37" x14ac:dyDescent="0.3">
      <c r="E20" s="36" t="s">
        <v>11</v>
      </c>
      <c r="F20" s="37"/>
      <c r="G20" s="37"/>
      <c r="H20" s="38"/>
      <c r="I20" s="1" t="s">
        <v>16</v>
      </c>
      <c r="J20" s="12">
        <v>0.8</v>
      </c>
      <c r="K20" s="1" t="s">
        <v>27</v>
      </c>
      <c r="M20" s="8" t="s">
        <v>62</v>
      </c>
      <c r="N20" s="11">
        <f>(J28/J27)*(J24/J25)</f>
        <v>1.1074218749999996</v>
      </c>
    </row>
    <row r="21" spans="5:37" x14ac:dyDescent="0.3">
      <c r="E21" s="36" t="s">
        <v>8</v>
      </c>
      <c r="F21" s="37"/>
      <c r="G21" s="37"/>
      <c r="H21" s="38"/>
      <c r="I21" s="1" t="s">
        <v>17</v>
      </c>
      <c r="J21" s="12">
        <v>0.3</v>
      </c>
      <c r="K21" s="1" t="s">
        <v>27</v>
      </c>
      <c r="M21" s="8" t="s">
        <v>63</v>
      </c>
      <c r="N21" s="11">
        <f>2*N20+3</f>
        <v>5.2148437499999991</v>
      </c>
      <c r="U21" s="19" t="s">
        <v>102</v>
      </c>
      <c r="V21" s="19"/>
      <c r="W21" s="19"/>
      <c r="X21" s="19"/>
      <c r="Y21" s="19"/>
      <c r="AA21" s="20" t="s">
        <v>109</v>
      </c>
      <c r="AB21" s="20"/>
      <c r="AC21" s="20"/>
      <c r="AE21" s="55" t="s">
        <v>117</v>
      </c>
      <c r="AF21" s="55"/>
      <c r="AG21" s="55"/>
      <c r="AI21" s="57" t="s">
        <v>121</v>
      </c>
      <c r="AJ21" s="57"/>
      <c r="AK21" s="57"/>
    </row>
    <row r="22" spans="5:37" ht="16.2" x14ac:dyDescent="0.3">
      <c r="E22" s="36" t="s">
        <v>9</v>
      </c>
      <c r="F22" s="37"/>
      <c r="G22" s="37"/>
      <c r="H22" s="38"/>
      <c r="I22" s="1" t="s">
        <v>18</v>
      </c>
      <c r="J22" s="12">
        <v>0.2</v>
      </c>
      <c r="K22" s="1" t="s">
        <v>27</v>
      </c>
      <c r="M22" s="8" t="s">
        <v>64</v>
      </c>
      <c r="N22" s="11">
        <f>3*N19+2*N20</f>
        <v>12.339843749999996</v>
      </c>
      <c r="U22" s="14" t="s">
        <v>103</v>
      </c>
      <c r="V22" s="14" t="s">
        <v>108</v>
      </c>
      <c r="W22" s="15" t="s">
        <v>114</v>
      </c>
      <c r="X22" s="15"/>
      <c r="Y22" s="14" t="s">
        <v>107</v>
      </c>
      <c r="AA22" s="15" t="s">
        <v>103</v>
      </c>
      <c r="AB22" s="15"/>
      <c r="AC22" s="14" t="s">
        <v>113</v>
      </c>
      <c r="AE22" s="15" t="s">
        <v>115</v>
      </c>
      <c r="AF22" s="15"/>
      <c r="AG22" s="14" t="s">
        <v>116</v>
      </c>
      <c r="AI22" s="15" t="s">
        <v>122</v>
      </c>
      <c r="AJ22" s="15"/>
      <c r="AK22" s="14" t="s">
        <v>30</v>
      </c>
    </row>
    <row r="23" spans="5:37" ht="16.2" x14ac:dyDescent="0.3">
      <c r="E23" s="36" t="s">
        <v>10</v>
      </c>
      <c r="F23" s="37"/>
      <c r="G23" s="37"/>
      <c r="H23" s="38"/>
      <c r="I23" s="1" t="s">
        <v>19</v>
      </c>
      <c r="J23" s="12">
        <v>0.2</v>
      </c>
      <c r="K23" s="1" t="s">
        <v>27</v>
      </c>
      <c r="M23" s="8" t="s">
        <v>65</v>
      </c>
      <c r="N23" s="11">
        <f>3*N20+1-(N19/5)</f>
        <v>3.6472656249999984</v>
      </c>
      <c r="U23" s="1" t="s">
        <v>104</v>
      </c>
      <c r="V23" s="60">
        <v>0.8</v>
      </c>
      <c r="W23" s="17">
        <v>18</v>
      </c>
      <c r="X23" s="18"/>
      <c r="Y23" s="11">
        <f>V23*W23*(J19+2*J22)</f>
        <v>48.96</v>
      </c>
      <c r="AA23" s="16" t="s">
        <v>112</v>
      </c>
      <c r="AB23" s="16"/>
      <c r="AC23" s="12">
        <v>18</v>
      </c>
      <c r="AE23" s="16" t="s">
        <v>120</v>
      </c>
      <c r="AF23" s="16"/>
      <c r="AG23" s="56">
        <v>9</v>
      </c>
      <c r="AI23" s="16" t="s">
        <v>123</v>
      </c>
      <c r="AJ23" s="16"/>
      <c r="AK23" s="11">
        <f>F8*J22*(J20+J21+J23)</f>
        <v>6.5</v>
      </c>
    </row>
    <row r="24" spans="5:37" x14ac:dyDescent="0.3">
      <c r="E24" s="36" t="s">
        <v>12</v>
      </c>
      <c r="F24" s="37"/>
      <c r="G24" s="37"/>
      <c r="H24" s="38"/>
      <c r="I24" s="1" t="s">
        <v>20</v>
      </c>
      <c r="J24" s="11">
        <f>J20+J21/2+J23/2</f>
        <v>1.05</v>
      </c>
      <c r="K24" s="1" t="s">
        <v>27</v>
      </c>
      <c r="M24" s="8" t="s">
        <v>66</v>
      </c>
      <c r="N24" s="11">
        <f>(6*N19)/5+3*N20</f>
        <v>7.3722656249999972</v>
      </c>
      <c r="U24" s="1" t="s">
        <v>105</v>
      </c>
      <c r="V24" s="60">
        <v>0.2</v>
      </c>
      <c r="W24" s="17">
        <v>20</v>
      </c>
      <c r="X24" s="18"/>
      <c r="Y24" s="11">
        <f>V24*W24*(J19+2*J22)</f>
        <v>13.6</v>
      </c>
      <c r="AA24" s="16" t="s">
        <v>53</v>
      </c>
      <c r="AB24" s="16"/>
      <c r="AC24" s="12">
        <v>0</v>
      </c>
      <c r="AE24" s="16" t="s">
        <v>118</v>
      </c>
      <c r="AF24" s="16"/>
      <c r="AG24" s="1">
        <f>AC26*AG23</f>
        <v>1.5441558772842892</v>
      </c>
    </row>
    <row r="25" spans="5:37" x14ac:dyDescent="0.3">
      <c r="E25" s="36" t="s">
        <v>13</v>
      </c>
      <c r="F25" s="37"/>
      <c r="G25" s="37"/>
      <c r="H25" s="38"/>
      <c r="I25" s="1" t="s">
        <v>21</v>
      </c>
      <c r="J25" s="11">
        <f>J19+J22</f>
        <v>3.2</v>
      </c>
      <c r="K25" s="1" t="s">
        <v>27</v>
      </c>
      <c r="M25" s="8" t="s">
        <v>67</v>
      </c>
      <c r="N25" s="11">
        <f>N21*N22-N20^2</f>
        <v>63.123973846435518</v>
      </c>
      <c r="U25" s="1" t="s">
        <v>106</v>
      </c>
      <c r="V25" s="59"/>
      <c r="W25" s="17"/>
      <c r="X25" s="18"/>
      <c r="Y25" s="11"/>
      <c r="AA25" s="16" t="s">
        <v>119</v>
      </c>
      <c r="AB25" s="16"/>
      <c r="AC25" s="12">
        <v>45</v>
      </c>
    </row>
    <row r="26" spans="5:37" ht="16.2" x14ac:dyDescent="0.3">
      <c r="E26" s="36" t="s">
        <v>24</v>
      </c>
      <c r="F26" s="37"/>
      <c r="G26" s="37"/>
      <c r="H26" s="38"/>
      <c r="I26" s="1" t="s">
        <v>22</v>
      </c>
      <c r="J26" s="11">
        <f>(1*J23^3)/12</f>
        <v>6.6666666666666686E-4</v>
      </c>
      <c r="K26" s="1" t="s">
        <v>28</v>
      </c>
      <c r="M26" s="8" t="s">
        <v>68</v>
      </c>
      <c r="N26" s="11">
        <f>1+N19+6*N20</f>
        <v>11.019531249999996</v>
      </c>
      <c r="AA26" s="16" t="s">
        <v>111</v>
      </c>
      <c r="AB26" s="16"/>
      <c r="AC26" s="11">
        <f>(TAN(RADIANS(45-AC25/2)))^2</f>
        <v>0.1715728752538099</v>
      </c>
    </row>
    <row r="27" spans="5:37" ht="16.2" x14ac:dyDescent="0.3">
      <c r="E27" s="36" t="s">
        <v>14</v>
      </c>
      <c r="F27" s="37"/>
      <c r="G27" s="37"/>
      <c r="H27" s="38"/>
      <c r="I27" s="1" t="s">
        <v>23</v>
      </c>
      <c r="J27" s="11">
        <f>(1*J22^3)/12</f>
        <v>6.6666666666666686E-4</v>
      </c>
      <c r="K27" s="1" t="s">
        <v>28</v>
      </c>
      <c r="AA27" s="16" t="s">
        <v>110</v>
      </c>
      <c r="AB27" s="16"/>
      <c r="AC27" s="11">
        <f>V23+V24+V25</f>
        <v>1</v>
      </c>
    </row>
    <row r="28" spans="5:37" ht="16.2" x14ac:dyDescent="0.3">
      <c r="E28" s="36" t="s">
        <v>25</v>
      </c>
      <c r="F28" s="37"/>
      <c r="G28" s="37"/>
      <c r="H28" s="38"/>
      <c r="I28" s="1" t="s">
        <v>26</v>
      </c>
      <c r="J28" s="11">
        <f>(1*J21^3)/12</f>
        <v>2.2499999999999998E-3</v>
      </c>
      <c r="K28" s="1" t="s">
        <v>28</v>
      </c>
      <c r="AA28" s="16" t="s">
        <v>88</v>
      </c>
      <c r="AB28" s="16"/>
      <c r="AC28" s="11">
        <f>AC26*AC23*AC27-2*AC24*SQRT(AC26)</f>
        <v>3.0883117545685783</v>
      </c>
    </row>
    <row r="29" spans="5:37" x14ac:dyDescent="0.3">
      <c r="E29" s="39"/>
      <c r="F29" s="40"/>
      <c r="G29" s="40"/>
      <c r="H29" s="41"/>
      <c r="I29" s="1"/>
      <c r="J29" s="1"/>
      <c r="K29" s="1"/>
      <c r="AA29" s="16" t="s">
        <v>89</v>
      </c>
      <c r="AB29" s="16"/>
      <c r="AC29" s="11">
        <f>AC26*AC23*(AC27+J20+J21+J23)-2*AC24*SQRT(AC26)</f>
        <v>7.1031170355077311</v>
      </c>
    </row>
    <row r="30" spans="5:37" ht="23.4" customHeight="1" x14ac:dyDescent="0.3">
      <c r="E30" s="39"/>
      <c r="F30" s="40"/>
      <c r="G30" s="40"/>
      <c r="H30" s="41"/>
      <c r="I30" s="1"/>
      <c r="J30" s="1"/>
      <c r="K30" s="1"/>
    </row>
    <row r="31" spans="5:37" ht="21" customHeight="1" x14ac:dyDescent="0.3"/>
    <row r="32" spans="5:37" x14ac:dyDescent="0.3">
      <c r="U32" s="58" t="s">
        <v>128</v>
      </c>
      <c r="V32" s="58"/>
      <c r="W32" s="58"/>
      <c r="X32" s="58"/>
      <c r="Y32" s="58"/>
      <c r="Z32" s="58"/>
      <c r="AA32" s="58"/>
      <c r="AB32" s="58"/>
      <c r="AC32" s="58"/>
      <c r="AD32" s="58"/>
    </row>
    <row r="33" spans="5:30" x14ac:dyDescent="0.3">
      <c r="U33" s="15" t="s">
        <v>122</v>
      </c>
      <c r="V33" s="15"/>
      <c r="W33" s="15" t="s">
        <v>137</v>
      </c>
      <c r="X33" s="15"/>
      <c r="Y33" s="28" t="s">
        <v>136</v>
      </c>
      <c r="Z33" s="29"/>
      <c r="AA33" s="28" t="s">
        <v>132</v>
      </c>
      <c r="AB33" s="29"/>
      <c r="AC33" s="28" t="s">
        <v>133</v>
      </c>
      <c r="AD33" s="29"/>
    </row>
    <row r="34" spans="5:30" x14ac:dyDescent="0.3">
      <c r="U34" s="16" t="s">
        <v>130</v>
      </c>
      <c r="V34" s="16"/>
      <c r="W34" s="46">
        <f>12*E13</f>
        <v>117.72</v>
      </c>
      <c r="X34" s="48"/>
      <c r="Y34" s="17">
        <v>1.1000000000000001</v>
      </c>
      <c r="Z34" s="18"/>
      <c r="AA34" s="46">
        <f>(0.25+2*AC27)^2</f>
        <v>5.0625</v>
      </c>
      <c r="AB34" s="48"/>
      <c r="AC34" s="61">
        <f>((W34*Y34)/AA34)*(1+0.64/(1+0.2*1))</f>
        <v>39.220622222222225</v>
      </c>
      <c r="AD34" s="62"/>
    </row>
    <row r="35" spans="5:30" x14ac:dyDescent="0.3">
      <c r="U35" s="16" t="s">
        <v>129</v>
      </c>
      <c r="V35" s="16"/>
      <c r="W35" s="46">
        <f>16*E13</f>
        <v>156.96</v>
      </c>
      <c r="X35" s="48"/>
      <c r="Y35" s="17">
        <v>1</v>
      </c>
      <c r="Z35" s="18"/>
      <c r="AA35" s="46">
        <f>(0.25+2*AC27)*(0.6+AC27)</f>
        <v>3.6</v>
      </c>
      <c r="AB35" s="48"/>
      <c r="AC35" s="61">
        <f>(W35*Y35)/AA35</f>
        <v>43.6</v>
      </c>
      <c r="AD35" s="62"/>
    </row>
    <row r="36" spans="5:30" x14ac:dyDescent="0.3">
      <c r="U36" s="16" t="s">
        <v>131</v>
      </c>
      <c r="V36" s="16"/>
      <c r="W36" s="46">
        <f>10*E13</f>
        <v>98.100000000000009</v>
      </c>
      <c r="X36" s="48"/>
      <c r="Y36" s="17"/>
      <c r="Z36" s="18"/>
      <c r="AA36" s="46">
        <f>(0.3+2*AC27)*(0.6+2*AC27)</f>
        <v>5.9799999999999995</v>
      </c>
      <c r="AB36" s="48"/>
      <c r="AC36" s="61">
        <f>W36/AA36</f>
        <v>16.404682274247495</v>
      </c>
      <c r="AD36" s="62"/>
    </row>
    <row r="47" spans="5:30" x14ac:dyDescent="0.3">
      <c r="E47" s="3"/>
      <c r="F47" s="3" t="s">
        <v>29</v>
      </c>
      <c r="G47" s="3" t="s">
        <v>30</v>
      </c>
      <c r="H47" s="3" t="s">
        <v>41</v>
      </c>
    </row>
    <row r="48" spans="5:30" ht="43.2" x14ac:dyDescent="0.3">
      <c r="E48" s="4" t="s">
        <v>31</v>
      </c>
      <c r="F48" s="4" t="s">
        <v>32</v>
      </c>
      <c r="G48" s="4">
        <v>25</v>
      </c>
      <c r="H48" s="4" t="s">
        <v>42</v>
      </c>
    </row>
    <row r="49" spans="5:8" ht="57.6" x14ac:dyDescent="0.3">
      <c r="E49" s="4" t="s">
        <v>33</v>
      </c>
      <c r="F49" s="4" t="s">
        <v>34</v>
      </c>
      <c r="G49" s="4">
        <v>33</v>
      </c>
      <c r="H49" s="4" t="s">
        <v>42</v>
      </c>
    </row>
    <row r="50" spans="5:8" ht="28.8" x14ac:dyDescent="0.3">
      <c r="E50" s="4" t="s">
        <v>35</v>
      </c>
      <c r="F50" s="4" t="s">
        <v>36</v>
      </c>
      <c r="G50" s="5">
        <v>30000</v>
      </c>
      <c r="H50" s="4" t="s">
        <v>42</v>
      </c>
    </row>
    <row r="51" spans="5:8" ht="28.8" x14ac:dyDescent="0.3">
      <c r="E51" s="4" t="s">
        <v>37</v>
      </c>
      <c r="F51" s="4" t="s">
        <v>38</v>
      </c>
      <c r="G51" s="4">
        <v>25</v>
      </c>
      <c r="H51" s="4" t="s">
        <v>43</v>
      </c>
    </row>
    <row r="52" spans="5:8" ht="28.8" x14ac:dyDescent="0.3">
      <c r="E52" s="4" t="s">
        <v>39</v>
      </c>
      <c r="F52" s="4" t="s">
        <v>40</v>
      </c>
      <c r="G52" s="4">
        <v>0.2</v>
      </c>
      <c r="H52" s="4" t="s">
        <v>44</v>
      </c>
    </row>
  </sheetData>
  <mergeCells count="176">
    <mergeCell ref="AI21:AK21"/>
    <mergeCell ref="AI22:AJ22"/>
    <mergeCell ref="AI23:AJ23"/>
    <mergeCell ref="U32:AD32"/>
    <mergeCell ref="U33:V33"/>
    <mergeCell ref="W33:X33"/>
    <mergeCell ref="U34:V34"/>
    <mergeCell ref="U35:V35"/>
    <mergeCell ref="U36:V36"/>
    <mergeCell ref="W34:X34"/>
    <mergeCell ref="W35:X35"/>
    <mergeCell ref="W36:X36"/>
    <mergeCell ref="Y33:Z33"/>
    <mergeCell ref="AA33:AB33"/>
    <mergeCell ref="AC33:AD33"/>
    <mergeCell ref="Y34:Z34"/>
    <mergeCell ref="Y35:Z35"/>
    <mergeCell ref="Y36:Z36"/>
    <mergeCell ref="AA34:AB34"/>
    <mergeCell ref="AC34:AD34"/>
    <mergeCell ref="AA35:AB35"/>
    <mergeCell ref="AC35:AD35"/>
    <mergeCell ref="AA36:AB36"/>
    <mergeCell ref="AC36:AD36"/>
    <mergeCell ref="B4:G4"/>
    <mergeCell ref="H4:M4"/>
    <mergeCell ref="N4:S4"/>
    <mergeCell ref="B5:D5"/>
    <mergeCell ref="B6:D6"/>
    <mergeCell ref="B7:D7"/>
    <mergeCell ref="AE21:AG21"/>
    <mergeCell ref="AE22:AF22"/>
    <mergeCell ref="AE23:AF23"/>
    <mergeCell ref="B14:D14"/>
    <mergeCell ref="B15:D15"/>
    <mergeCell ref="B16:D16"/>
    <mergeCell ref="B8:D8"/>
    <mergeCell ref="B9:D9"/>
    <mergeCell ref="B10:D10"/>
    <mergeCell ref="B11:D11"/>
    <mergeCell ref="B12:D12"/>
    <mergeCell ref="B13:D13"/>
    <mergeCell ref="B3:S3"/>
    <mergeCell ref="N16:P16"/>
    <mergeCell ref="N10:P10"/>
    <mergeCell ref="N11:P11"/>
    <mergeCell ref="N12:P12"/>
    <mergeCell ref="N13:P13"/>
    <mergeCell ref="N14:P14"/>
    <mergeCell ref="N15:P15"/>
    <mergeCell ref="N5:P5"/>
    <mergeCell ref="N6:P6"/>
    <mergeCell ref="N7:P7"/>
    <mergeCell ref="N8:P8"/>
    <mergeCell ref="N9:P9"/>
    <mergeCell ref="H12:J12"/>
    <mergeCell ref="H13:J13"/>
    <mergeCell ref="H14:J14"/>
    <mergeCell ref="H15:J15"/>
    <mergeCell ref="H16:J16"/>
    <mergeCell ref="H5:J5"/>
    <mergeCell ref="H6:J6"/>
    <mergeCell ref="H7:J7"/>
    <mergeCell ref="H8:J8"/>
    <mergeCell ref="H9:J9"/>
    <mergeCell ref="H10:J10"/>
    <mergeCell ref="E17:K17"/>
    <mergeCell ref="E19:H19"/>
    <mergeCell ref="AF15:AI15"/>
    <mergeCell ref="AF16:AI16"/>
    <mergeCell ref="AB16:AE16"/>
    <mergeCell ref="X9:AA9"/>
    <mergeCell ref="X10:AA10"/>
    <mergeCell ref="X11:AA11"/>
    <mergeCell ref="X12:AA12"/>
    <mergeCell ref="H11:J11"/>
    <mergeCell ref="E26:H26"/>
    <mergeCell ref="E27:H27"/>
    <mergeCell ref="E28:H28"/>
    <mergeCell ref="E29:H29"/>
    <mergeCell ref="E30:H30"/>
    <mergeCell ref="M18:N18"/>
    <mergeCell ref="E20:H20"/>
    <mergeCell ref="E21:H21"/>
    <mergeCell ref="E22:H22"/>
    <mergeCell ref="E23:H23"/>
    <mergeCell ref="E24:H24"/>
    <mergeCell ref="E25:H25"/>
    <mergeCell ref="E18:H18"/>
    <mergeCell ref="AF14:AI14"/>
    <mergeCell ref="AF3:AI3"/>
    <mergeCell ref="AF4:AI4"/>
    <mergeCell ref="AF5:AI5"/>
    <mergeCell ref="AF6:AI6"/>
    <mergeCell ref="AF7:AI7"/>
    <mergeCell ref="AF8:AI8"/>
    <mergeCell ref="AB10:AE10"/>
    <mergeCell ref="AB11:AE11"/>
    <mergeCell ref="AB12:AE12"/>
    <mergeCell ref="AB13:AE13"/>
    <mergeCell ref="AB14:AE14"/>
    <mergeCell ref="AB5:AE5"/>
    <mergeCell ref="AB6:AE6"/>
    <mergeCell ref="AB7:AE7"/>
    <mergeCell ref="AB8:AE8"/>
    <mergeCell ref="AB9:AE9"/>
    <mergeCell ref="U3:W3"/>
    <mergeCell ref="U4:W4"/>
    <mergeCell ref="AB3:AC3"/>
    <mergeCell ref="AD3:AE3"/>
    <mergeCell ref="AB4:AC4"/>
    <mergeCell ref="AD4:AE4"/>
    <mergeCell ref="X1:AM1"/>
    <mergeCell ref="AJ3:AM3"/>
    <mergeCell ref="AJ4:AM4"/>
    <mergeCell ref="AB2:AE2"/>
    <mergeCell ref="AF2:AI2"/>
    <mergeCell ref="X3:AA3"/>
    <mergeCell ref="X4:AA4"/>
    <mergeCell ref="X2:AA2"/>
    <mergeCell ref="AJ2:AM2"/>
    <mergeCell ref="AJ14:AM14"/>
    <mergeCell ref="AJ15:AM15"/>
    <mergeCell ref="AJ16:AM16"/>
    <mergeCell ref="AJ5:AM5"/>
    <mergeCell ref="AJ6:AM6"/>
    <mergeCell ref="AJ7:AM7"/>
    <mergeCell ref="AJ8:AM8"/>
    <mergeCell ref="AJ9:AM9"/>
    <mergeCell ref="AJ10:AM10"/>
    <mergeCell ref="V5:W5"/>
    <mergeCell ref="V6:W6"/>
    <mergeCell ref="V7:W7"/>
    <mergeCell ref="V8:W8"/>
    <mergeCell ref="V9:W9"/>
    <mergeCell ref="V10:W10"/>
    <mergeCell ref="AJ11:AM11"/>
    <mergeCell ref="AJ12:AM12"/>
    <mergeCell ref="AJ13:AM13"/>
    <mergeCell ref="AF9:AI9"/>
    <mergeCell ref="AF10:AI10"/>
    <mergeCell ref="AF11:AI11"/>
    <mergeCell ref="AF12:AI12"/>
    <mergeCell ref="AF13:AI13"/>
    <mergeCell ref="X13:AA13"/>
    <mergeCell ref="X5:AA5"/>
    <mergeCell ref="X6:AA6"/>
    <mergeCell ref="X7:AA7"/>
    <mergeCell ref="X8:AA8"/>
    <mergeCell ref="AA29:AB29"/>
    <mergeCell ref="W22:X22"/>
    <mergeCell ref="U21:Y21"/>
    <mergeCell ref="AA21:AC21"/>
    <mergeCell ref="AA23:AB23"/>
    <mergeCell ref="V11:W11"/>
    <mergeCell ref="V12:W12"/>
    <mergeCell ref="V13:W13"/>
    <mergeCell ref="V14:W14"/>
    <mergeCell ref="V15:W15"/>
    <mergeCell ref="V16:W16"/>
    <mergeCell ref="AB15:AE15"/>
    <mergeCell ref="X14:AA14"/>
    <mergeCell ref="X15:AA15"/>
    <mergeCell ref="X16:AA16"/>
    <mergeCell ref="U5:U12"/>
    <mergeCell ref="U13:U16"/>
    <mergeCell ref="AE24:AF24"/>
    <mergeCell ref="AA22:AB22"/>
    <mergeCell ref="AA24:AB24"/>
    <mergeCell ref="AA25:AB25"/>
    <mergeCell ref="AA26:AB26"/>
    <mergeCell ref="W23:X23"/>
    <mergeCell ref="W24:X24"/>
    <mergeCell ref="W25:X25"/>
    <mergeCell ref="AA27:AB27"/>
    <mergeCell ref="AA28:AB28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Dove Group</dc:creator>
  <cp:lastModifiedBy>Dove Group</cp:lastModifiedBy>
  <dcterms:created xsi:type="dcterms:W3CDTF">2025-09-04T07:09:29Z</dcterms:created>
  <dcterms:modified xsi:type="dcterms:W3CDTF">2025-09-06T14:54:04Z</dcterms:modified>
</cp:coreProperties>
</file>