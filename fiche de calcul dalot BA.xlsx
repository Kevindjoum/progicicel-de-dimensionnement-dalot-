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MEMOIRE\"/>
    </mc:Choice>
  </mc:AlternateContent>
  <xr:revisionPtr revIDLastSave="0" documentId="13_ncr:1_{3E3B4EA5-665D-43EF-8E88-6A82DF82470D}" xr6:coauthVersionLast="47" xr6:coauthVersionMax="47" xr10:uidLastSave="{00000000-0000-0000-0000-000000000000}"/>
  <bookViews>
    <workbookView xWindow="-108" yWindow="-108" windowWidth="23256" windowHeight="12456" xr2:uid="{9C9D6BE5-D638-49C2-A16D-142850D2FFA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7" i="1" l="1"/>
  <c r="G59" i="1"/>
  <c r="O57" i="1" s="1"/>
  <c r="AK23" i="1"/>
  <c r="AF4" i="1" s="1"/>
  <c r="Y23" i="1"/>
  <c r="V25" i="1"/>
  <c r="Y25" i="1" s="1"/>
  <c r="W36" i="1"/>
  <c r="W35" i="1"/>
  <c r="W34" i="1"/>
  <c r="AF47" i="1"/>
  <c r="AE47" i="1"/>
  <c r="AF42" i="1"/>
  <c r="AE42" i="1"/>
  <c r="AC26" i="1"/>
  <c r="AG24" i="1" s="1"/>
  <c r="AJ4" i="1" s="1"/>
  <c r="Y24" i="1"/>
  <c r="F10" i="1"/>
  <c r="J24" i="1"/>
  <c r="J25" i="1"/>
  <c r="J28" i="1"/>
  <c r="J27" i="1"/>
  <c r="J26" i="1"/>
  <c r="O56" i="1" l="1"/>
  <c r="S56" i="1" s="1"/>
  <c r="S57" i="1" s="1"/>
  <c r="K57" i="1"/>
  <c r="K56" i="1"/>
  <c r="K58" i="1" s="1"/>
  <c r="O58" i="1"/>
  <c r="AC27" i="1"/>
  <c r="AC29" i="1" s="1"/>
  <c r="AD4" i="1" s="1"/>
  <c r="AJ16" i="1"/>
  <c r="Y26" i="1"/>
  <c r="X4" i="1" s="1"/>
  <c r="AF15" i="1"/>
  <c r="AF41" i="1" s="1"/>
  <c r="AF14" i="1"/>
  <c r="AE41" i="1" s="1"/>
  <c r="AC28" i="1"/>
  <c r="AB4" i="1" s="1"/>
  <c r="AJ13" i="1"/>
  <c r="N20" i="1"/>
  <c r="N19" i="1"/>
  <c r="AA35" i="1" l="1"/>
  <c r="AC35" i="1" s="1"/>
  <c r="AA34" i="1"/>
  <c r="AC34" i="1" s="1"/>
  <c r="AA36" i="1"/>
  <c r="AC36" i="1" s="1"/>
  <c r="AF45" i="1" s="1"/>
  <c r="AE45" i="1"/>
  <c r="AE44" i="1"/>
  <c r="AF44" i="1"/>
  <c r="AE43" i="1"/>
  <c r="AF43" i="1"/>
  <c r="AG47" i="1"/>
  <c r="AD47" i="1"/>
  <c r="N23" i="1"/>
  <c r="N21" i="1"/>
  <c r="N24" i="1"/>
  <c r="N22" i="1"/>
  <c r="N26" i="1"/>
  <c r="AF46" i="1" l="1" a="1"/>
  <c r="AF46" i="1" s="1"/>
  <c r="AF49" i="1" s="1"/>
  <c r="AE46" i="1" a="1"/>
  <c r="AE46" i="1" s="1"/>
  <c r="AE49" i="1" s="1"/>
  <c r="N25" i="1"/>
  <c r="AF6" i="1" s="1"/>
  <c r="X45" i="1" l="1"/>
  <c r="X5" i="1"/>
  <c r="X43" i="1"/>
  <c r="W44" i="1"/>
  <c r="X6" i="1"/>
  <c r="W45" i="1"/>
  <c r="W43" i="1"/>
  <c r="X44" i="1"/>
  <c r="AF13" i="1"/>
  <c r="AB6" i="1"/>
  <c r="AF8" i="1"/>
  <c r="AJ8" i="1"/>
  <c r="Z47" i="1" s="1"/>
  <c r="AB8" i="1"/>
  <c r="Z42" i="1" s="1"/>
  <c r="Z45" i="1"/>
  <c r="Y44" i="1"/>
  <c r="Y43" i="1"/>
  <c r="X8" i="1"/>
  <c r="AF16" i="1"/>
  <c r="AG41" i="1" s="1"/>
  <c r="Y45" i="1"/>
  <c r="Z44" i="1"/>
  <c r="AJ6" i="1"/>
  <c r="X47" i="1" s="1"/>
  <c r="Z43" i="1"/>
  <c r="AJ7" i="1"/>
  <c r="Y47" i="1" s="1"/>
  <c r="AB7" i="1"/>
  <c r="Y42" i="1" s="1"/>
  <c r="AD41" i="1"/>
  <c r="X7" i="1"/>
  <c r="AF5" i="1"/>
  <c r="AJ5" i="1"/>
  <c r="AF7" i="1"/>
  <c r="AB5" i="1"/>
  <c r="AB12" i="1" l="1"/>
  <c r="X16" i="1"/>
  <c r="X14" i="1"/>
  <c r="AE40" i="1" s="1"/>
  <c r="AE48" i="1" s="1"/>
  <c r="X13" i="1"/>
  <c r="X15" i="1"/>
  <c r="AF40" i="1" s="1"/>
  <c r="AF48" i="1" s="1"/>
  <c r="Z46" i="1" a="1"/>
  <c r="Z46" i="1" s="1"/>
  <c r="Z49" i="1" s="1"/>
  <c r="AC45" i="1"/>
  <c r="AB45" i="1"/>
  <c r="AG44" i="1"/>
  <c r="AD44" i="1"/>
  <c r="AA44" i="1"/>
  <c r="AC44" i="1"/>
  <c r="AB44" i="1"/>
  <c r="X46" i="1" a="1"/>
  <c r="X46" i="1" s="1"/>
  <c r="X49" i="1" s="1"/>
  <c r="AA43" i="1"/>
  <c r="AD43" i="1"/>
  <c r="AG43" i="1"/>
  <c r="Y46" i="1" a="1"/>
  <c r="Y46" i="1" s="1"/>
  <c r="Y49" i="1" s="1"/>
  <c r="AG45" i="1"/>
  <c r="AA45" i="1"/>
  <c r="AD45" i="1"/>
  <c r="W46" i="1" a="1"/>
  <c r="W46" i="1" s="1"/>
  <c r="AC43" i="1"/>
  <c r="AB43" i="1"/>
  <c r="W47" i="1"/>
  <c r="AJ12" i="1"/>
  <c r="X10" i="1"/>
  <c r="X11" i="1"/>
  <c r="AC40" i="1" s="1"/>
  <c r="W40" i="1"/>
  <c r="AB10" i="1"/>
  <c r="AB42" i="1" s="1"/>
  <c r="W42" i="1"/>
  <c r="Y40" i="1"/>
  <c r="Z41" i="1"/>
  <c r="Y41" i="1"/>
  <c r="W41" i="1"/>
  <c r="AJ10" i="1"/>
  <c r="AB47" i="1" s="1"/>
  <c r="AF11" i="1"/>
  <c r="AC41" i="1" s="1"/>
  <c r="AB11" i="1"/>
  <c r="AB16" i="1"/>
  <c r="AG42" i="1" s="1"/>
  <c r="AJ11" i="1"/>
  <c r="AB9" i="1"/>
  <c r="AA42" i="1" s="1"/>
  <c r="AF9" i="1"/>
  <c r="AA41" i="1" s="1"/>
  <c r="AC46" i="1" l="1" a="1"/>
  <c r="AC46" i="1" s="1"/>
  <c r="AA46" i="1" a="1"/>
  <c r="AA46" i="1" s="1"/>
  <c r="AF50" i="1"/>
  <c r="AF51" i="1"/>
  <c r="AB46" i="1" a="1"/>
  <c r="AB46" i="1" s="1"/>
  <c r="AB49" i="1" s="1"/>
  <c r="AE50" i="1"/>
  <c r="AE51" i="1"/>
  <c r="Y48" i="1"/>
  <c r="Y50" i="1" s="1"/>
  <c r="W49" i="1"/>
  <c r="AG46" i="1" a="1"/>
  <c r="AG46" i="1" s="1"/>
  <c r="AG49" i="1" s="1"/>
  <c r="AD46" i="1" a="1"/>
  <c r="AD46" i="1" s="1"/>
  <c r="AD49" i="1" s="1"/>
  <c r="W48" i="1"/>
  <c r="X12" i="1"/>
  <c r="AC42" i="1"/>
  <c r="AC48" i="1" s="1"/>
  <c r="AF10" i="1"/>
  <c r="AB41" i="1" s="1"/>
  <c r="X41" i="1"/>
  <c r="X9" i="1"/>
  <c r="AA40" i="1" s="1"/>
  <c r="AA48" i="1" s="1"/>
  <c r="Z40" i="1"/>
  <c r="Z48" i="1" s="1"/>
  <c r="AC47" i="1"/>
  <c r="AF12" i="1"/>
  <c r="AJ9" i="1"/>
  <c r="AA47" i="1" s="1"/>
  <c r="AB40" i="1"/>
  <c r="X40" i="1"/>
  <c r="AB13" i="1"/>
  <c r="AD42" i="1" s="1"/>
  <c r="X42" i="1"/>
  <c r="AC49" i="1" l="1"/>
  <c r="AC50" i="1" s="1"/>
  <c r="AA49" i="1"/>
  <c r="AA51" i="1" s="1"/>
  <c r="Y51" i="1"/>
  <c r="X48" i="1"/>
  <c r="X51" i="1" s="1"/>
  <c r="AB48" i="1"/>
  <c r="AB51" i="1" s="1"/>
  <c r="W51" i="1"/>
  <c r="W50" i="1"/>
  <c r="Z51" i="1"/>
  <c r="Z50" i="1"/>
  <c r="AG40" i="1"/>
  <c r="AG48" i="1" s="1"/>
  <c r="AD40" i="1"/>
  <c r="AD48" i="1" s="1"/>
  <c r="AC51" i="1" l="1"/>
  <c r="X50" i="1"/>
  <c r="AA50" i="1"/>
  <c r="AB50" i="1"/>
  <c r="AG51" i="1"/>
  <c r="AG50" i="1"/>
  <c r="AD51" i="1"/>
  <c r="AD50" i="1"/>
</calcChain>
</file>

<file path=xl/sharedStrings.xml><?xml version="1.0" encoding="utf-8"?>
<sst xmlns="http://schemas.openxmlformats.org/spreadsheetml/2006/main" count="229" uniqueCount="180">
  <si>
    <t>BETON</t>
  </si>
  <si>
    <t xml:space="preserve">ACIER </t>
  </si>
  <si>
    <t xml:space="preserve">designation </t>
  </si>
  <si>
    <t xml:space="preserve">symbole </t>
  </si>
  <si>
    <t xml:space="preserve">valeur </t>
  </si>
  <si>
    <t xml:space="preserve">unité </t>
  </si>
  <si>
    <t xml:space="preserve">DESIGNATION </t>
  </si>
  <si>
    <t xml:space="preserve">Largeur inrterne </t>
  </si>
  <si>
    <t xml:space="preserve">épaisseur dalle </t>
  </si>
  <si>
    <t xml:space="preserve">épaisssseur piédroits </t>
  </si>
  <si>
    <t xml:space="preserve">épaisseur radier </t>
  </si>
  <si>
    <t xml:space="preserve">Hauteur interne </t>
  </si>
  <si>
    <t xml:space="preserve">hauteur de calcul </t>
  </si>
  <si>
    <t xml:space="preserve">largeur de calcul </t>
  </si>
  <si>
    <t>momment d'inertie piédroits</t>
  </si>
  <si>
    <t>Li</t>
  </si>
  <si>
    <t>Hi</t>
  </si>
  <si>
    <t>e_dalle</t>
  </si>
  <si>
    <t>e_voile</t>
  </si>
  <si>
    <t>e_radier</t>
  </si>
  <si>
    <t>h</t>
  </si>
  <si>
    <t>l</t>
  </si>
  <si>
    <t>j1</t>
  </si>
  <si>
    <t>j2</t>
  </si>
  <si>
    <t>momment d'inertie radier</t>
  </si>
  <si>
    <t xml:space="preserve">moment d'innertie dalle </t>
  </si>
  <si>
    <t>j3</t>
  </si>
  <si>
    <t xml:space="preserve">m </t>
  </si>
  <si>
    <r>
      <t>m</t>
    </r>
    <r>
      <rPr>
        <vertAlign val="superscript"/>
        <sz val="11"/>
        <color theme="1"/>
        <rFont val="Calibri"/>
        <family val="2"/>
        <scheme val="minor"/>
      </rPr>
      <t>4</t>
    </r>
  </si>
  <si>
    <t>Valeur</t>
  </si>
  <si>
    <t>Unité</t>
  </si>
  <si>
    <t>Resistance caractéristiques à 28j</t>
  </si>
  <si>
    <t xml:space="preserve">Module d'elasticité </t>
  </si>
  <si>
    <t xml:space="preserve">Masse volumique </t>
  </si>
  <si>
    <t xml:space="preserve">Coéfficient de poisson </t>
  </si>
  <si>
    <t xml:space="preserve">Limite d'elasticité </t>
  </si>
  <si>
    <t xml:space="preserve">masse volumique </t>
  </si>
  <si>
    <t xml:space="preserve">poids volumique </t>
  </si>
  <si>
    <t xml:space="preserve">angle de frottément interne </t>
  </si>
  <si>
    <t>cohesion</t>
  </si>
  <si>
    <t xml:space="preserve">coef de poisson </t>
  </si>
  <si>
    <t>coef de poussé active</t>
  </si>
  <si>
    <t>Ka</t>
  </si>
  <si>
    <t>nu</t>
  </si>
  <si>
    <t>c</t>
  </si>
  <si>
    <t>gama</t>
  </si>
  <si>
    <t>phi</t>
  </si>
  <si>
    <t>k1</t>
  </si>
  <si>
    <t>k2</t>
  </si>
  <si>
    <t>K1</t>
  </si>
  <si>
    <t>K2</t>
  </si>
  <si>
    <t>K3</t>
  </si>
  <si>
    <t>K4</t>
  </si>
  <si>
    <t>F1</t>
  </si>
  <si>
    <t>F2</t>
  </si>
  <si>
    <t xml:space="preserve">CHARGES UNIFORMEMENT APPLIQUEE SUR LA DALLE </t>
  </si>
  <si>
    <t xml:space="preserve">CHARGES CONCENTREES EGALES EN B ET C </t>
  </si>
  <si>
    <t>MA</t>
  </si>
  <si>
    <t>MD</t>
  </si>
  <si>
    <t>MB</t>
  </si>
  <si>
    <t>MC</t>
  </si>
  <si>
    <t>M(A-D) (Radier)</t>
  </si>
  <si>
    <t xml:space="preserve">M(B-C) (Tablier) </t>
  </si>
  <si>
    <t>M(A-B) (piédroit gauche)</t>
  </si>
  <si>
    <t>M(C-D) ( Piédroit droit)</t>
  </si>
  <si>
    <t>S1</t>
  </si>
  <si>
    <t>S2</t>
  </si>
  <si>
    <t>S2'</t>
  </si>
  <si>
    <t>S3</t>
  </si>
  <si>
    <t>DESIGNATION DE LA CHARGE SUR LE DALOT</t>
  </si>
  <si>
    <t xml:space="preserve">VALEUR </t>
  </si>
  <si>
    <t xml:space="preserve">CHARGE TRIANGULAIRE SYMETRIQUE SUR LES DEUX COTES </t>
  </si>
  <si>
    <t>CHARGE UNIFORME SUR LES DEUX COTES</t>
  </si>
  <si>
    <t xml:space="preserve">FORMULES DE CALCUL DES EFFORTS INTERNES EN FONCTION DU TYPE DE CHARGEMENT </t>
  </si>
  <si>
    <t xml:space="preserve">CARACTERISTIQUES DES MATERIAUX </t>
  </si>
  <si>
    <t>Paramètres  KLEINLOGEL</t>
  </si>
  <si>
    <t xml:space="preserve">DIMENSIONS ET CARACTERISTIQUES DU DALOT </t>
  </si>
  <si>
    <r>
      <t>KN/m</t>
    </r>
    <r>
      <rPr>
        <vertAlign val="superscript"/>
        <sz val="11"/>
        <color theme="1"/>
        <rFont val="Calibri"/>
        <family val="2"/>
        <scheme val="minor"/>
      </rPr>
      <t>3</t>
    </r>
  </si>
  <si>
    <t>°</t>
  </si>
  <si>
    <t>Kpa</t>
  </si>
  <si>
    <t xml:space="preserve">SOL DE POUSSEE </t>
  </si>
  <si>
    <t>CHARGES DE REMBLAIS AU DESSUS DU TABLIER</t>
  </si>
  <si>
    <t>Designation</t>
  </si>
  <si>
    <t xml:space="preserve">Terre </t>
  </si>
  <si>
    <t>Chaussée</t>
  </si>
  <si>
    <t>epaisseur(m)</t>
  </si>
  <si>
    <t xml:space="preserve">POUSSEE LATTERALE DES TERRES </t>
  </si>
  <si>
    <t xml:space="preserve">Hauteur totale des remblais </t>
  </si>
  <si>
    <t>coef de poussée Ka</t>
  </si>
  <si>
    <r>
      <t>Poids volumique (KN/m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</si>
  <si>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valeurs</t>
  </si>
  <si>
    <r>
      <t>Poids vol (KN/m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</si>
  <si>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 xml:space="preserve">Designation </t>
  </si>
  <si>
    <t>valeur</t>
  </si>
  <si>
    <t>SURCHARGE ROUTIERE SUR LES PIEDROITS</t>
  </si>
  <si>
    <t>angle de frottement interne(°)</t>
  </si>
  <si>
    <t xml:space="preserve">POIDS DES PIEDROITS </t>
  </si>
  <si>
    <t>Désignation</t>
  </si>
  <si>
    <t>Poids propre piedroit P(KN)</t>
  </si>
  <si>
    <t xml:space="preserve">Mpa </t>
  </si>
  <si>
    <t>Gpa</t>
  </si>
  <si>
    <r>
      <t>KN/m</t>
    </r>
    <r>
      <rPr>
        <vertAlign val="superscript"/>
        <sz val="11"/>
        <color theme="1"/>
        <rFont val="Calibri"/>
        <family val="2"/>
        <scheme val="minor"/>
      </rPr>
      <t>2</t>
    </r>
  </si>
  <si>
    <t xml:space="preserve">Resistance dimensionnement </t>
  </si>
  <si>
    <t xml:space="preserve">CHARGES ROUTIRES </t>
  </si>
  <si>
    <t>Système de charge Bt</t>
  </si>
  <si>
    <t xml:space="preserve">Système de charge Bc </t>
  </si>
  <si>
    <t>Sytème de charge Br</t>
  </si>
  <si>
    <t>Surface d'influence du pneu</t>
  </si>
  <si>
    <t>FORCE GRAVITATIONELLE</t>
  </si>
  <si>
    <t>N/m²</t>
  </si>
  <si>
    <t>Coef de charge (bc, bt)</t>
  </si>
  <si>
    <t xml:space="preserve">TABLEAU RECAPITULATIF DES RESULTATS DES EFFORTS INTERNES </t>
  </si>
  <si>
    <t>Q</t>
  </si>
  <si>
    <t>G</t>
  </si>
  <si>
    <t>Charges sur tablier</t>
  </si>
  <si>
    <t>Poussée lattérale</t>
  </si>
  <si>
    <t>Pouids propre voile</t>
  </si>
  <si>
    <t>Surcharge routière</t>
  </si>
  <si>
    <t>combinaison ELU (1,35G+1,5Q)</t>
  </si>
  <si>
    <t>combinaison ELS ( G+Q)</t>
  </si>
  <si>
    <t>1+2+3</t>
  </si>
  <si>
    <t>convoie de type max(BC, Bt, Br)</t>
  </si>
  <si>
    <t xml:space="preserve">Total </t>
  </si>
  <si>
    <t>M(A-B) piedroit</t>
  </si>
  <si>
    <t>M(A-D) Radier</t>
  </si>
  <si>
    <t>M(B-C) Tablier</t>
  </si>
  <si>
    <t>Charge du convoie Bc</t>
  </si>
  <si>
    <t>Charge du convoie Bt</t>
  </si>
  <si>
    <t>Charge du convoe Br</t>
  </si>
  <si>
    <t>7=max(4,5,6)</t>
  </si>
  <si>
    <t>7+8</t>
  </si>
  <si>
    <t>q (t/ml)</t>
  </si>
  <si>
    <t>MOMENTS (t.m/ml)</t>
  </si>
  <si>
    <t>EFFORT NORMAUX (t.m/ml)</t>
  </si>
  <si>
    <t>σ1(t/m²)</t>
  </si>
  <si>
    <t>σ2(t/m²)</t>
  </si>
  <si>
    <t xml:space="preserve">pression latérale σ(KPa) </t>
  </si>
  <si>
    <t>σ1(Kpa)</t>
  </si>
  <si>
    <t>σ2(Kpa)</t>
  </si>
  <si>
    <t>Valeur de la charge sur un essieu (t)</t>
  </si>
  <si>
    <t>Valeur de la charge q (t/m²)</t>
  </si>
  <si>
    <t>charge q (KN/ml)</t>
  </si>
  <si>
    <t>P (t)</t>
  </si>
  <si>
    <t>σ(t/m²)</t>
  </si>
  <si>
    <t>Charges q (KN/m²)</t>
  </si>
  <si>
    <t>Tablier</t>
  </si>
  <si>
    <t xml:space="preserve">CALCUL DU MUR EN AILE </t>
  </si>
  <si>
    <t xml:space="preserve">Géométrie </t>
  </si>
  <si>
    <t xml:space="preserve">Désigantioh </t>
  </si>
  <si>
    <t xml:space="preserve">Valeur </t>
  </si>
  <si>
    <t xml:space="preserve">Unité </t>
  </si>
  <si>
    <t xml:space="preserve">Paramètres du sol </t>
  </si>
  <si>
    <t xml:space="preserve">Hauteur </t>
  </si>
  <si>
    <t>épasseur  voile</t>
  </si>
  <si>
    <t>Cohésion</t>
  </si>
  <si>
    <t>poussée active Ka</t>
  </si>
  <si>
    <t xml:space="preserve">Angle frot </t>
  </si>
  <si>
    <t>m</t>
  </si>
  <si>
    <t xml:space="preserve">Poids vol </t>
  </si>
  <si>
    <t xml:space="preserve">Charges </t>
  </si>
  <si>
    <t xml:space="preserve">Surchage </t>
  </si>
  <si>
    <t>symbole</t>
  </si>
  <si>
    <t>KN/m²</t>
  </si>
  <si>
    <t>TOTAL</t>
  </si>
  <si>
    <t xml:space="preserve">Calcul des charges appliquées </t>
  </si>
  <si>
    <t xml:space="preserve">Kpa </t>
  </si>
  <si>
    <t>Pression active</t>
  </si>
  <si>
    <t>force de poussée</t>
  </si>
  <si>
    <t>Poussée du sol</t>
  </si>
  <si>
    <t>Poussée surcharge</t>
  </si>
  <si>
    <r>
      <t>P</t>
    </r>
    <r>
      <rPr>
        <vertAlign val="subscript"/>
        <sz val="11"/>
        <color theme="1"/>
        <rFont val="Calibri"/>
        <family val="2"/>
        <scheme val="minor"/>
      </rPr>
      <t>sol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</si>
  <si>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totale</t>
    </r>
  </si>
  <si>
    <r>
      <t>P</t>
    </r>
    <r>
      <rPr>
        <vertAlign val="subscript"/>
        <sz val="11"/>
        <color theme="1"/>
        <rFont val="Calibri"/>
        <family val="2"/>
        <scheme val="minor"/>
      </rPr>
      <t>q</t>
    </r>
  </si>
  <si>
    <t>KN</t>
  </si>
  <si>
    <t xml:space="preserve">Moment max </t>
  </si>
  <si>
    <t>Moment de calcul (EELU)</t>
  </si>
  <si>
    <t xml:space="preserve">Moment de dimensionnement </t>
  </si>
  <si>
    <r>
      <t>σ</t>
    </r>
    <r>
      <rPr>
        <vertAlign val="subscript"/>
        <sz val="11"/>
        <color theme="1"/>
        <rFont val="Calibri"/>
        <family val="2"/>
        <scheme val="minor"/>
      </rPr>
      <t>sol</t>
    </r>
  </si>
  <si>
    <r>
      <t>σ</t>
    </r>
    <r>
      <rPr>
        <vertAlign val="subscript"/>
        <sz val="11"/>
        <color theme="1"/>
        <rFont val="Calibri"/>
        <family val="2"/>
        <scheme val="minor"/>
      </rPr>
      <t>Totale</t>
    </r>
  </si>
  <si>
    <r>
      <t>σ</t>
    </r>
    <r>
      <rPr>
        <vertAlign val="subscript"/>
        <sz val="11"/>
        <color theme="1"/>
        <rFont val="Calibri"/>
        <family val="2"/>
        <scheme val="minor"/>
      </rPr>
      <t>q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</si>
</sst>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FCFA&quot;;[Red]\-#,##0\ &quot;FCFA&quot;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7C8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2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6" borderId="2" xfId="0" applyFont="1" applyFill="1" applyBorder="1" applyAlignment="1">
      <alignment horizontal="center"/>
    </xf>
    <xf numFmtId="0" fontId="1" fillId="5" borderId="2" xfId="0" applyFont="1" applyFill="1" applyBorder="1"/>
    <xf numFmtId="0" fontId="1" fillId="0" borderId="0" xfId="0" applyFont="1" applyAlignment="1">
      <alignment horizontal="center"/>
    </xf>
    <xf numFmtId="0" fontId="1" fillId="0" borderId="0" xfId="0" applyFont="1"/>
    <xf numFmtId="0" fontId="0" fillId="4" borderId="2" xfId="0" applyFill="1" applyBorder="1"/>
    <xf numFmtId="0" fontId="0" fillId="12" borderId="2" xfId="0" applyFill="1" applyBorder="1"/>
    <xf numFmtId="6" fontId="1" fillId="0" borderId="0" xfId="0" applyNumberFormat="1" applyFont="1"/>
    <xf numFmtId="0" fontId="1" fillId="0" borderId="2" xfId="0" applyFont="1" applyBorder="1"/>
    <xf numFmtId="0" fontId="0" fillId="0" borderId="2" xfId="0" applyBorder="1" applyAlignment="1">
      <alignment horizontal="center"/>
    </xf>
    <xf numFmtId="0" fontId="0" fillId="15" borderId="2" xfId="0" applyFill="1" applyBorder="1"/>
    <xf numFmtId="0" fontId="6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6" fontId="1" fillId="9" borderId="2" xfId="0" applyNumberFormat="1" applyFont="1" applyFill="1" applyBorder="1"/>
    <xf numFmtId="6" fontId="1" fillId="9" borderId="3" xfId="0" applyNumberFormat="1" applyFont="1" applyFill="1" applyBorder="1"/>
    <xf numFmtId="0" fontId="1" fillId="9" borderId="2" xfId="0" applyFont="1" applyFill="1" applyBorder="1"/>
    <xf numFmtId="0" fontId="1" fillId="9" borderId="3" xfId="0" applyFont="1" applyFill="1" applyBorder="1"/>
    <xf numFmtId="0" fontId="1" fillId="6" borderId="2" xfId="0" applyFont="1" applyFill="1" applyBorder="1"/>
    <xf numFmtId="0" fontId="1" fillId="6" borderId="3" xfId="0" applyFont="1" applyFill="1" applyBorder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0" xfId="0" applyAlignment="1"/>
    <xf numFmtId="0" fontId="0" fillId="16" borderId="2" xfId="0" applyFill="1" applyBorder="1"/>
    <xf numFmtId="0" fontId="0" fillId="0" borderId="0" xfId="0" applyFont="1"/>
    <xf numFmtId="0" fontId="6" fillId="17" borderId="2" xfId="0" applyFont="1" applyFill="1" applyBorder="1"/>
    <xf numFmtId="0" fontId="0" fillId="17" borderId="2" xfId="0" applyFill="1" applyBorder="1" applyAlignment="1">
      <alignment horizontal="center"/>
    </xf>
    <xf numFmtId="0" fontId="0" fillId="17" borderId="3" xfId="0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6" fontId="1" fillId="0" borderId="0" xfId="0" applyNumberFormat="1" applyFont="1" applyFill="1" applyBorder="1" applyAlignment="1"/>
    <xf numFmtId="0" fontId="1" fillId="0" borderId="0" xfId="0" applyFont="1" applyFill="1" applyBorder="1" applyAlignment="1"/>
    <xf numFmtId="0" fontId="1" fillId="18" borderId="2" xfId="0" applyFont="1" applyFill="1" applyBorder="1"/>
    <xf numFmtId="0" fontId="7" fillId="19" borderId="1" xfId="0" applyFont="1" applyFill="1" applyBorder="1" applyAlignment="1">
      <alignment horizontal="center"/>
    </xf>
    <xf numFmtId="0" fontId="7" fillId="19" borderId="6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10" borderId="2" xfId="0" applyFill="1" applyBorder="1" applyAlignment="1">
      <alignment wrapText="1"/>
    </xf>
    <xf numFmtId="0" fontId="0" fillId="17" borderId="2" xfId="0" applyFill="1" applyBorder="1"/>
    <xf numFmtId="0" fontId="0" fillId="20" borderId="2" xfId="0" applyFill="1" applyBorder="1"/>
    <xf numFmtId="0" fontId="0" fillId="0" borderId="2" xfId="0" applyFill="1" applyBorder="1"/>
    <xf numFmtId="0" fontId="6" fillId="0" borderId="2" xfId="0" applyFont="1" applyFill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1" borderId="5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18" borderId="0" xfId="0" applyFont="1" applyFill="1"/>
    <xf numFmtId="0" fontId="1" fillId="3" borderId="2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 vertical="center" wrapText="1"/>
    </xf>
    <xf numFmtId="0" fontId="1" fillId="24" borderId="2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vertical="center" wrapText="1"/>
    </xf>
    <xf numFmtId="0" fontId="1" fillId="24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/>
    <xf numFmtId="0" fontId="0" fillId="0" borderId="0" xfId="0" applyFill="1"/>
    <xf numFmtId="0" fontId="1" fillId="17" borderId="2" xfId="0" applyFont="1" applyFill="1" applyBorder="1"/>
    <xf numFmtId="0" fontId="1" fillId="17" borderId="2" xfId="0" applyFont="1" applyFill="1" applyBorder="1" applyAlignment="1">
      <alignment horizontal="center"/>
    </xf>
    <xf numFmtId="0" fontId="0" fillId="24" borderId="2" xfId="0" applyFill="1" applyBorder="1"/>
    <xf numFmtId="0" fontId="7" fillId="19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22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7" borderId="3" xfId="0" applyFont="1" applyFill="1" applyBorder="1" applyAlignment="1">
      <alignment horizontal="center"/>
    </xf>
    <xf numFmtId="0" fontId="0" fillId="7" borderId="4" xfId="0" applyFont="1" applyFill="1" applyBorder="1" applyAlignment="1">
      <alignment horizontal="center"/>
    </xf>
    <xf numFmtId="0" fontId="0" fillId="7" borderId="5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1" fillId="8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76955</xdr:colOff>
      <xdr:row>28</xdr:row>
      <xdr:rowOff>78416</xdr:rowOff>
    </xdr:from>
    <xdr:to>
      <xdr:col>18</xdr:col>
      <xdr:colOff>316751</xdr:colOff>
      <xdr:row>48</xdr:row>
      <xdr:rowOff>113543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2DE6A8D-D402-8B4C-89EA-C921D4BF1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7143" y="5286910"/>
          <a:ext cx="6013067" cy="3827198"/>
        </a:xfrm>
        <a:prstGeom prst="rect">
          <a:avLst/>
        </a:prstGeom>
      </xdr:spPr>
    </xdr:pic>
    <xdr:clientData/>
  </xdr:twoCellAnchor>
  <xdr:twoCellAnchor editAs="oneCell">
    <xdr:from>
      <xdr:col>3</xdr:col>
      <xdr:colOff>699247</xdr:colOff>
      <xdr:row>30</xdr:row>
      <xdr:rowOff>230038</xdr:rowOff>
    </xdr:from>
    <xdr:to>
      <xdr:col>10</xdr:col>
      <xdr:colOff>621473</xdr:colOff>
      <xdr:row>42</xdr:row>
      <xdr:rowOff>87759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D6BE1C2C-DFE3-9210-4682-61B633936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1511" y="6052868"/>
          <a:ext cx="6005738" cy="2186853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61</xdr:row>
      <xdr:rowOff>1</xdr:rowOff>
    </xdr:from>
    <xdr:to>
      <xdr:col>7</xdr:col>
      <xdr:colOff>533400</xdr:colOff>
      <xdr:row>73</xdr:row>
      <xdr:rowOff>155705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44027B06-05F9-E412-18AA-CF68AE739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84120" y="11574781"/>
          <a:ext cx="4160520" cy="235026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14</xdr:col>
      <xdr:colOff>485270</xdr:colOff>
      <xdr:row>76</xdr:row>
      <xdr:rowOff>116541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8A3933C4-0C2D-DD74-75C4-F1D9B0490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0" y="11223812"/>
          <a:ext cx="4680752" cy="29852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D7BF-5080-4024-9112-1C9ACF7AE968}">
  <dimension ref="B1:AO59"/>
  <sheetViews>
    <sheetView tabSelected="1" topLeftCell="I31" zoomScale="85" zoomScaleNormal="85" workbookViewId="0">
      <selection activeCell="R24" sqref="R24"/>
    </sheetView>
  </sheetViews>
  <sheetFormatPr baseColWidth="10" defaultRowHeight="14.4" x14ac:dyDescent="0.3"/>
  <cols>
    <col min="3" max="3" width="13.109375" customWidth="1"/>
    <col min="4" max="4" width="11.6640625" customWidth="1"/>
    <col min="6" max="6" width="18.109375" customWidth="1"/>
    <col min="9" max="9" width="12.88671875" customWidth="1"/>
    <col min="13" max="13" width="15.109375" customWidth="1"/>
    <col min="20" max="20" width="6.33203125" customWidth="1"/>
    <col min="21" max="21" width="44" customWidth="1"/>
    <col min="22" max="22" width="14.77734375" customWidth="1"/>
    <col min="23" max="23" width="12.21875" bestFit="1" customWidth="1"/>
    <col min="24" max="24" width="23.21875" customWidth="1"/>
    <col min="25" max="25" width="16" customWidth="1"/>
    <col min="26" max="26" width="12.109375" bestFit="1" customWidth="1"/>
    <col min="27" max="27" width="14.33203125" customWidth="1"/>
    <col min="28" max="28" width="14.6640625" customWidth="1"/>
    <col min="29" max="29" width="15.33203125" customWidth="1"/>
    <col min="30" max="30" width="15" customWidth="1"/>
    <col min="31" max="31" width="17.44140625" customWidth="1"/>
    <col min="36" max="36" width="14.44140625" customWidth="1"/>
  </cols>
  <sheetData>
    <row r="1" spans="2:41" x14ac:dyDescent="0.3">
      <c r="X1" s="91" t="s">
        <v>73</v>
      </c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</row>
    <row r="2" spans="2:41" x14ac:dyDescent="0.3">
      <c r="X2" s="38" t="s">
        <v>55</v>
      </c>
      <c r="Y2" s="38"/>
      <c r="Z2" s="38"/>
      <c r="AA2" s="38"/>
      <c r="AB2" s="41" t="s">
        <v>71</v>
      </c>
      <c r="AC2" s="41"/>
      <c r="AD2" s="41"/>
      <c r="AE2" s="41"/>
      <c r="AF2" s="35" t="s">
        <v>56</v>
      </c>
      <c r="AG2" s="35"/>
      <c r="AH2" s="35"/>
      <c r="AI2" s="35"/>
      <c r="AJ2" s="42" t="s">
        <v>72</v>
      </c>
      <c r="AK2" s="42"/>
      <c r="AL2" s="42"/>
      <c r="AM2" s="42"/>
    </row>
    <row r="3" spans="2:41" x14ac:dyDescent="0.3">
      <c r="B3" s="93" t="s">
        <v>74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2"/>
      <c r="U3" s="40" t="s">
        <v>69</v>
      </c>
      <c r="V3" s="40"/>
      <c r="W3" s="40"/>
      <c r="X3" s="17" t="s">
        <v>131</v>
      </c>
      <c r="Y3" s="17"/>
      <c r="Z3" s="17"/>
      <c r="AA3" s="17"/>
      <c r="AB3" s="22" t="s">
        <v>134</v>
      </c>
      <c r="AC3" s="23"/>
      <c r="AD3" s="22" t="s">
        <v>135</v>
      </c>
      <c r="AE3" s="23"/>
      <c r="AF3" s="17" t="s">
        <v>142</v>
      </c>
      <c r="AG3" s="17"/>
      <c r="AH3" s="17"/>
      <c r="AI3" s="17"/>
      <c r="AJ3" s="17" t="s">
        <v>143</v>
      </c>
      <c r="AK3" s="17"/>
      <c r="AL3" s="17"/>
      <c r="AM3" s="17"/>
    </row>
    <row r="4" spans="2:41" x14ac:dyDescent="0.3">
      <c r="B4" s="26" t="s">
        <v>0</v>
      </c>
      <c r="C4" s="26"/>
      <c r="D4" s="26"/>
      <c r="E4" s="26"/>
      <c r="F4" s="26"/>
      <c r="G4" s="26"/>
      <c r="H4" s="27" t="s">
        <v>1</v>
      </c>
      <c r="I4" s="27"/>
      <c r="J4" s="27"/>
      <c r="K4" s="27"/>
      <c r="L4" s="27"/>
      <c r="M4" s="27"/>
      <c r="N4" s="28" t="s">
        <v>80</v>
      </c>
      <c r="O4" s="28"/>
      <c r="P4" s="28"/>
      <c r="Q4" s="28"/>
      <c r="R4" s="28"/>
      <c r="S4" s="28"/>
      <c r="T4" s="7"/>
      <c r="U4" s="40" t="s">
        <v>70</v>
      </c>
      <c r="V4" s="40"/>
      <c r="W4" s="40"/>
      <c r="X4" s="56">
        <f>Y26/E13</f>
        <v>1.5290519877675841</v>
      </c>
      <c r="Y4" s="56"/>
      <c r="Z4" s="56"/>
      <c r="AA4" s="56"/>
      <c r="AB4" s="57">
        <f>AC28/E13</f>
        <v>0.40774719673802234</v>
      </c>
      <c r="AC4" s="58"/>
      <c r="AD4" s="57">
        <f>AC29/E13</f>
        <v>1.2911994563370708</v>
      </c>
      <c r="AE4" s="58"/>
      <c r="AF4" s="56">
        <f>AK23/E13</f>
        <v>0.6116207951070336</v>
      </c>
      <c r="AG4" s="56"/>
      <c r="AH4" s="56"/>
      <c r="AI4" s="56"/>
      <c r="AJ4" s="56">
        <f>AG24/E13</f>
        <v>0.3058103975535168</v>
      </c>
      <c r="AK4" s="56"/>
      <c r="AL4" s="56"/>
      <c r="AM4" s="56"/>
    </row>
    <row r="5" spans="2:41" x14ac:dyDescent="0.3">
      <c r="B5" s="29" t="s">
        <v>2</v>
      </c>
      <c r="C5" s="30"/>
      <c r="D5" s="31"/>
      <c r="E5" s="6" t="s">
        <v>3</v>
      </c>
      <c r="F5" s="6" t="s">
        <v>4</v>
      </c>
      <c r="G5" s="6" t="s">
        <v>5</v>
      </c>
      <c r="H5" s="29" t="s">
        <v>2</v>
      </c>
      <c r="I5" s="30"/>
      <c r="J5" s="31"/>
      <c r="K5" s="6" t="s">
        <v>3</v>
      </c>
      <c r="L5" s="6" t="s">
        <v>4</v>
      </c>
      <c r="M5" s="6" t="s">
        <v>5</v>
      </c>
      <c r="N5" s="29" t="s">
        <v>2</v>
      </c>
      <c r="O5" s="30"/>
      <c r="P5" s="31"/>
      <c r="Q5" s="6" t="s">
        <v>3</v>
      </c>
      <c r="R5" s="6" t="s">
        <v>4</v>
      </c>
      <c r="S5" s="6" t="s">
        <v>5</v>
      </c>
      <c r="T5" s="8"/>
      <c r="U5" s="100" t="s">
        <v>132</v>
      </c>
      <c r="V5" s="43" t="s">
        <v>57</v>
      </c>
      <c r="W5" s="44"/>
      <c r="X5" s="71">
        <f>-((X4*J25^2)*(N19*N21-N20))/(4*N25)</f>
        <v>-9.1743119266055051E-2</v>
      </c>
      <c r="Y5" s="71"/>
      <c r="Z5" s="71"/>
      <c r="AA5" s="71"/>
      <c r="AB5" s="18">
        <f>-(N20*(N20+3)*AB4*J24^2)/(4*N25)-(N20*(3*N20+8)*(AD4-AB4)*J24^2)/(20*N25)</f>
        <v>-5.3618756371049965E-2</v>
      </c>
      <c r="AC5" s="18"/>
      <c r="AD5" s="18"/>
      <c r="AE5" s="18"/>
      <c r="AF5" s="18">
        <f>-(AF4*J25*N19*N21)/(2*N25)</f>
        <v>-7.64525993883792E-2</v>
      </c>
      <c r="AG5" s="18"/>
      <c r="AH5" s="18"/>
      <c r="AI5" s="18"/>
      <c r="AJ5" s="18">
        <f>-(N20*(N20+3)*AJ4*J24^2)/(4*N25)</f>
        <v>-1.8348623853211017E-2</v>
      </c>
      <c r="AK5" s="18"/>
      <c r="AL5" s="18"/>
      <c r="AM5" s="18"/>
      <c r="AN5" s="11"/>
      <c r="AO5" s="11"/>
    </row>
    <row r="6" spans="2:41" ht="16.2" x14ac:dyDescent="0.3">
      <c r="B6" s="102" t="s">
        <v>31</v>
      </c>
      <c r="C6" s="103"/>
      <c r="D6" s="104"/>
      <c r="E6" s="1"/>
      <c r="F6" s="10">
        <v>25</v>
      </c>
      <c r="G6" s="1" t="s">
        <v>99</v>
      </c>
      <c r="H6" s="102" t="s">
        <v>35</v>
      </c>
      <c r="I6" s="103"/>
      <c r="J6" s="104"/>
      <c r="K6" s="1"/>
      <c r="L6" s="10"/>
      <c r="M6" s="1"/>
      <c r="N6" s="102" t="s">
        <v>37</v>
      </c>
      <c r="O6" s="103"/>
      <c r="P6" s="104"/>
      <c r="Q6" s="1" t="s">
        <v>45</v>
      </c>
      <c r="R6" s="10">
        <v>18</v>
      </c>
      <c r="S6" s="1" t="s">
        <v>77</v>
      </c>
      <c r="U6" s="100"/>
      <c r="V6" s="45" t="s">
        <v>58</v>
      </c>
      <c r="W6" s="46"/>
      <c r="X6" s="71">
        <f>-((X4*J25^2)*(N19*N21-N20))/(4*N25)</f>
        <v>-9.1743119266055051E-2</v>
      </c>
      <c r="Y6" s="71"/>
      <c r="Z6" s="71"/>
      <c r="AA6" s="71"/>
      <c r="AB6" s="18">
        <f>-(N20*(N20+3)*AB4*J24^2)/(4*N25)-(N20*(3*N20+8)*(AD4-AB4)*J24^2)/(20*N25)</f>
        <v>-5.3618756371049965E-2</v>
      </c>
      <c r="AC6" s="18"/>
      <c r="AD6" s="18"/>
      <c r="AE6" s="18"/>
      <c r="AF6" s="18">
        <f>-(AF4*J25*N19*N21)/(2*N25)</f>
        <v>-7.64525993883792E-2</v>
      </c>
      <c r="AG6" s="18"/>
      <c r="AH6" s="18"/>
      <c r="AI6" s="18"/>
      <c r="AJ6" s="18">
        <f>-(N20*(N20+3)*AJ4*J24^2)/(4*N25)</f>
        <v>-1.8348623853211017E-2</v>
      </c>
      <c r="AK6" s="18"/>
      <c r="AL6" s="18"/>
      <c r="AM6" s="18"/>
      <c r="AN6" s="8"/>
      <c r="AO6" s="8"/>
    </row>
    <row r="7" spans="2:41" x14ac:dyDescent="0.3">
      <c r="B7" s="102" t="s">
        <v>32</v>
      </c>
      <c r="C7" s="103"/>
      <c r="D7" s="104"/>
      <c r="E7" s="1"/>
      <c r="F7" s="10">
        <v>22</v>
      </c>
      <c r="G7" s="1" t="s">
        <v>100</v>
      </c>
      <c r="H7" s="102" t="s">
        <v>36</v>
      </c>
      <c r="I7" s="103"/>
      <c r="J7" s="104"/>
      <c r="K7" s="1"/>
      <c r="L7" s="10"/>
      <c r="M7" s="1"/>
      <c r="N7" s="102" t="s">
        <v>38</v>
      </c>
      <c r="O7" s="103"/>
      <c r="P7" s="104"/>
      <c r="Q7" s="1" t="s">
        <v>46</v>
      </c>
      <c r="R7" s="10">
        <v>45</v>
      </c>
      <c r="S7" s="1" t="s">
        <v>78</v>
      </c>
      <c r="U7" s="100"/>
      <c r="V7" s="45" t="s">
        <v>59</v>
      </c>
      <c r="W7" s="46"/>
      <c r="X7" s="18">
        <f>((-X4*J25^2)/(4*N25))*(N22-N19*N20)</f>
        <v>-9.1743119266055051E-2</v>
      </c>
      <c r="Y7" s="18"/>
      <c r="Z7" s="18"/>
      <c r="AA7" s="18"/>
      <c r="AB7" s="18">
        <f>-(N20*(N20+3*N19)*AB4*J24^2)/(4*N25)-(N20*(2*N20+7*N19)*(AD4-AB4)*J24^2)/(20*N25)</f>
        <v>-4.8318042813455669E-2</v>
      </c>
      <c r="AC7" s="18"/>
      <c r="AD7" s="18"/>
      <c r="AE7" s="18"/>
      <c r="AF7" s="18">
        <f>(AF4*J25*N19*N20)/(2*N25)</f>
        <v>1.5290519877675842E-2</v>
      </c>
      <c r="AG7" s="18"/>
      <c r="AH7" s="18"/>
      <c r="AI7" s="18"/>
      <c r="AJ7" s="18">
        <f>-(N20*(N20+3)*AJ4*J24^2)/(4*N25)</f>
        <v>-1.8348623853211017E-2</v>
      </c>
      <c r="AK7" s="18"/>
      <c r="AL7" s="18"/>
      <c r="AM7" s="18"/>
      <c r="AN7" s="8"/>
      <c r="AO7" s="8"/>
    </row>
    <row r="8" spans="2:41" ht="16.2" x14ac:dyDescent="0.3">
      <c r="B8" s="102" t="s">
        <v>33</v>
      </c>
      <c r="C8" s="103"/>
      <c r="D8" s="104"/>
      <c r="E8" s="1"/>
      <c r="F8" s="10">
        <v>25</v>
      </c>
      <c r="G8" s="1" t="s">
        <v>101</v>
      </c>
      <c r="H8" s="102"/>
      <c r="I8" s="103"/>
      <c r="J8" s="104"/>
      <c r="K8" s="1"/>
      <c r="L8" s="10"/>
      <c r="M8" s="1"/>
      <c r="N8" s="102" t="s">
        <v>39</v>
      </c>
      <c r="O8" s="103"/>
      <c r="P8" s="104"/>
      <c r="Q8" s="1" t="s">
        <v>44</v>
      </c>
      <c r="R8" s="10">
        <v>20</v>
      </c>
      <c r="S8" s="1" t="s">
        <v>79</v>
      </c>
      <c r="U8" s="100"/>
      <c r="V8" s="45" t="s">
        <v>60</v>
      </c>
      <c r="W8" s="46"/>
      <c r="X8" s="18">
        <f>((-X4*J25^2)/(4*N25))*(N22-N19*N20)</f>
        <v>-9.1743119266055051E-2</v>
      </c>
      <c r="Y8" s="18"/>
      <c r="Z8" s="18"/>
      <c r="AA8" s="18"/>
      <c r="AB8" s="18">
        <f>-(N20*(N20+3*N19)*AB4*J24^2)/(4*N25)-(N20*(2*N20+7*N19)*(AD4-AB4)*J24^2)/(20*N25)</f>
        <v>-4.8318042813455669E-2</v>
      </c>
      <c r="AC8" s="18"/>
      <c r="AD8" s="18"/>
      <c r="AE8" s="18"/>
      <c r="AF8" s="18">
        <f>(AF4*J25*N19*N20)/(2*N25)</f>
        <v>1.5290519877675842E-2</v>
      </c>
      <c r="AG8" s="18"/>
      <c r="AH8" s="18"/>
      <c r="AI8" s="18"/>
      <c r="AJ8" s="18">
        <f>-(N20*(N20+3)*AJ4*J24^2)/(4*N25)</f>
        <v>-1.8348623853211017E-2</v>
      </c>
      <c r="AK8" s="18"/>
      <c r="AL8" s="18"/>
      <c r="AM8" s="18"/>
      <c r="AN8" s="8"/>
      <c r="AO8" s="8"/>
    </row>
    <row r="9" spans="2:41" x14ac:dyDescent="0.3">
      <c r="B9" s="102" t="s">
        <v>34</v>
      </c>
      <c r="C9" s="103"/>
      <c r="D9" s="104"/>
      <c r="E9" s="1"/>
      <c r="F9" s="10">
        <v>0.3</v>
      </c>
      <c r="G9" s="1"/>
      <c r="H9" s="102"/>
      <c r="I9" s="103"/>
      <c r="J9" s="104"/>
      <c r="K9" s="1"/>
      <c r="L9" s="10"/>
      <c r="M9" s="1"/>
      <c r="N9" s="102" t="s">
        <v>40</v>
      </c>
      <c r="O9" s="103"/>
      <c r="P9" s="104"/>
      <c r="Q9" s="1" t="s">
        <v>43</v>
      </c>
      <c r="R9" s="10">
        <v>0.3</v>
      </c>
      <c r="S9" s="1"/>
      <c r="U9" s="100"/>
      <c r="V9" s="45" t="s">
        <v>62</v>
      </c>
      <c r="W9" s="46"/>
      <c r="X9" s="18">
        <f>(X7+X8)/2+(X4*J25^2)/8</f>
        <v>0.1834862385321101</v>
      </c>
      <c r="Y9" s="18"/>
      <c r="Z9" s="18"/>
      <c r="AA9" s="18"/>
      <c r="AB9" s="18">
        <f>(AB7+AB8)/2</f>
        <v>-4.8318042813455669E-2</v>
      </c>
      <c r="AC9" s="18"/>
      <c r="AD9" s="18"/>
      <c r="AE9" s="18"/>
      <c r="AF9" s="18">
        <f>(AF7+AF8)/2</f>
        <v>1.5290519877675842E-2</v>
      </c>
      <c r="AG9" s="18"/>
      <c r="AH9" s="18"/>
      <c r="AI9" s="18"/>
      <c r="AJ9" s="18">
        <f>(AJ7+AJ8)/2</f>
        <v>-1.8348623853211017E-2</v>
      </c>
      <c r="AK9" s="18"/>
      <c r="AL9" s="18"/>
      <c r="AM9" s="18"/>
      <c r="AN9" s="8"/>
      <c r="AO9" s="8"/>
    </row>
    <row r="10" spans="2:41" x14ac:dyDescent="0.3">
      <c r="B10" s="102" t="s">
        <v>102</v>
      </c>
      <c r="C10" s="103"/>
      <c r="D10" s="104"/>
      <c r="E10" s="1"/>
      <c r="F10" s="10">
        <f>(0.85*F6)/1.5</f>
        <v>14.166666666666666</v>
      </c>
      <c r="G10" s="1" t="s">
        <v>99</v>
      </c>
      <c r="H10" s="20"/>
      <c r="I10" s="34"/>
      <c r="J10" s="21"/>
      <c r="K10" s="1"/>
      <c r="L10" s="10"/>
      <c r="M10" s="1"/>
      <c r="N10" s="102" t="s">
        <v>41</v>
      </c>
      <c r="O10" s="103"/>
      <c r="P10" s="104"/>
      <c r="Q10" s="1" t="s">
        <v>42</v>
      </c>
      <c r="R10" s="10">
        <v>0.33</v>
      </c>
      <c r="S10" s="1"/>
      <c r="U10" s="100"/>
      <c r="V10" s="45" t="s">
        <v>61</v>
      </c>
      <c r="W10" s="46"/>
      <c r="X10" s="18">
        <f>(X5+X6)/2+(X4*J25^2)/8</f>
        <v>0.1834862385321101</v>
      </c>
      <c r="Y10" s="18"/>
      <c r="Z10" s="18"/>
      <c r="AA10" s="18"/>
      <c r="AB10" s="18">
        <f>(AB5+AB6)/2</f>
        <v>-5.3618756371049965E-2</v>
      </c>
      <c r="AC10" s="18"/>
      <c r="AD10" s="18"/>
      <c r="AE10" s="18"/>
      <c r="AF10" s="18">
        <f>(AF5+AF6)/2+(AF4*J25)/4</f>
        <v>0.10703363914373087</v>
      </c>
      <c r="AG10" s="18"/>
      <c r="AH10" s="18"/>
      <c r="AI10" s="18"/>
      <c r="AJ10" s="18">
        <f>(AJ5+AJ6)/2</f>
        <v>-1.8348623853211017E-2</v>
      </c>
      <c r="AK10" s="18"/>
      <c r="AL10" s="18"/>
      <c r="AM10" s="18"/>
      <c r="AN10" s="8"/>
      <c r="AO10" s="8"/>
    </row>
    <row r="11" spans="2:41" x14ac:dyDescent="0.3">
      <c r="B11" s="20"/>
      <c r="C11" s="34"/>
      <c r="D11" s="21"/>
      <c r="E11" s="1"/>
      <c r="F11" s="10"/>
      <c r="G11" s="1"/>
      <c r="H11" s="20"/>
      <c r="I11" s="34"/>
      <c r="J11" s="21"/>
      <c r="K11" s="1"/>
      <c r="L11" s="10"/>
      <c r="M11" s="1"/>
      <c r="N11" s="20"/>
      <c r="O11" s="34"/>
      <c r="P11" s="21"/>
      <c r="Q11" s="1"/>
      <c r="R11" s="10"/>
      <c r="S11" s="1"/>
      <c r="U11" s="100"/>
      <c r="V11" s="45" t="s">
        <v>63</v>
      </c>
      <c r="W11" s="46"/>
      <c r="X11" s="18">
        <f>(X5+X7)/2</f>
        <v>-9.1743119266055051E-2</v>
      </c>
      <c r="Y11" s="18"/>
      <c r="Z11" s="18"/>
      <c r="AA11" s="18"/>
      <c r="AB11" s="18">
        <f>(AB5+AB7)/2+(AD4-AB4)*J24^2*(1/12)+(AB4*J24^2)/8</f>
        <v>0.12844036697247707</v>
      </c>
      <c r="AC11" s="18"/>
      <c r="AD11" s="18"/>
      <c r="AE11" s="18"/>
      <c r="AF11" s="18">
        <f>(AF5+AF7)/2</f>
        <v>-3.0581039755351678E-2</v>
      </c>
      <c r="AG11" s="18"/>
      <c r="AH11" s="18"/>
      <c r="AI11" s="18"/>
      <c r="AJ11" s="18">
        <f>(AJ4*J24^2)/8+(AJ5+AJ7)/2</f>
        <v>3.669724770642202E-2</v>
      </c>
      <c r="AK11" s="18"/>
      <c r="AL11" s="18"/>
      <c r="AM11" s="18"/>
      <c r="AN11" s="8"/>
      <c r="AO11" s="8"/>
    </row>
    <row r="12" spans="2:41" x14ac:dyDescent="0.3">
      <c r="B12" s="33"/>
      <c r="C12" s="33"/>
      <c r="D12" s="33"/>
      <c r="H12" s="33"/>
      <c r="I12" s="33"/>
      <c r="J12" s="33"/>
      <c r="N12" s="33"/>
      <c r="O12" s="33"/>
      <c r="P12" s="33"/>
      <c r="U12" s="100"/>
      <c r="V12" s="45" t="s">
        <v>64</v>
      </c>
      <c r="W12" s="46"/>
      <c r="X12" s="18">
        <f>( X8+X6)/2</f>
        <v>-9.1743119266055051E-2</v>
      </c>
      <c r="Y12" s="18"/>
      <c r="Z12" s="18"/>
      <c r="AA12" s="18"/>
      <c r="AB12" s="18">
        <f>(AB5+AB7)/2+(AD4-AB4)*J24^2*(1/12)+(AB4*J24^2)/8</f>
        <v>0.12844036697247707</v>
      </c>
      <c r="AC12" s="18"/>
      <c r="AD12" s="18"/>
      <c r="AE12" s="18"/>
      <c r="AF12" s="18">
        <f>(AF8+AF6)/2</f>
        <v>-3.0581039755351678E-2</v>
      </c>
      <c r="AG12" s="18"/>
      <c r="AH12" s="18"/>
      <c r="AI12" s="18"/>
      <c r="AJ12" s="18">
        <f>(AJ4*J24^2)/8+(AJ5+AJ7)/2</f>
        <v>3.669724770642202E-2</v>
      </c>
      <c r="AK12" s="18"/>
      <c r="AL12" s="18"/>
      <c r="AM12" s="18"/>
      <c r="AN12" s="8"/>
      <c r="AO12" s="8"/>
    </row>
    <row r="13" spans="2:41" x14ac:dyDescent="0.3">
      <c r="B13" s="35" t="s">
        <v>108</v>
      </c>
      <c r="C13" s="35"/>
      <c r="D13" s="35"/>
      <c r="E13" s="10">
        <v>9.81</v>
      </c>
      <c r="F13" s="1" t="s">
        <v>109</v>
      </c>
      <c r="H13" s="33"/>
      <c r="I13" s="33"/>
      <c r="J13" s="33"/>
      <c r="N13" s="33"/>
      <c r="O13" s="33"/>
      <c r="P13" s="33"/>
      <c r="U13" s="101" t="s">
        <v>133</v>
      </c>
      <c r="V13" s="47" t="s">
        <v>65</v>
      </c>
      <c r="W13" s="48"/>
      <c r="X13" s="71">
        <f>(X7-X5)/J24 + (X6-X5)/J25</f>
        <v>0</v>
      </c>
      <c r="Y13" s="71"/>
      <c r="Z13" s="71"/>
      <c r="AA13" s="71"/>
      <c r="AB13" s="18">
        <f>((AB4+2*AD4)*J24)/6+(AB7-AB5)/J24+(AB6-AB5)/J25</f>
        <v>0.60244648318042815</v>
      </c>
      <c r="AC13" s="18"/>
      <c r="AD13" s="18"/>
      <c r="AE13" s="18"/>
      <c r="AF13" s="18">
        <f>(3*AF4*J25*N19*(1+N20))/(2*J24*N25)</f>
        <v>7.6452599388379186E-2</v>
      </c>
      <c r="AG13" s="18"/>
      <c r="AH13" s="18"/>
      <c r="AI13" s="18"/>
      <c r="AJ13" s="18">
        <f>(AJ4*J24)/2</f>
        <v>0.1834862385321101</v>
      </c>
      <c r="AK13" s="18"/>
      <c r="AL13" s="18"/>
      <c r="AM13" s="18"/>
      <c r="AN13" s="8"/>
      <c r="AO13" s="8"/>
    </row>
    <row r="14" spans="2:41" x14ac:dyDescent="0.3">
      <c r="B14" s="52"/>
      <c r="C14" s="52"/>
      <c r="D14" s="52"/>
      <c r="H14" s="33"/>
      <c r="I14" s="33"/>
      <c r="J14" s="33"/>
      <c r="N14" s="33"/>
      <c r="O14" s="33"/>
      <c r="P14" s="33"/>
      <c r="U14" s="101"/>
      <c r="V14" s="47" t="s">
        <v>66</v>
      </c>
      <c r="W14" s="48"/>
      <c r="X14" s="18">
        <f>(X4*J25)/2 +(X5-X7)/J24 +(X8-X7)/J25</f>
        <v>0.9174311926605504</v>
      </c>
      <c r="Y14" s="18"/>
      <c r="Z14" s="18"/>
      <c r="AA14" s="18"/>
      <c r="AB14" s="18">
        <v>0</v>
      </c>
      <c r="AC14" s="18"/>
      <c r="AD14" s="18"/>
      <c r="AE14" s="18"/>
      <c r="AF14" s="18">
        <f>AF4</f>
        <v>0.6116207951070336</v>
      </c>
      <c r="AG14" s="18"/>
      <c r="AH14" s="18"/>
      <c r="AI14" s="18"/>
      <c r="AJ14" s="18">
        <v>0</v>
      </c>
      <c r="AK14" s="18"/>
      <c r="AL14" s="18"/>
      <c r="AM14" s="18"/>
      <c r="AN14" s="8"/>
      <c r="AO14" s="8"/>
    </row>
    <row r="15" spans="2:41" x14ac:dyDescent="0.3">
      <c r="B15" s="52"/>
      <c r="C15" s="52"/>
      <c r="D15" s="52"/>
      <c r="H15" s="33"/>
      <c r="I15" s="33"/>
      <c r="J15" s="33"/>
      <c r="N15" s="33"/>
      <c r="O15" s="33"/>
      <c r="P15" s="33"/>
      <c r="U15" s="101"/>
      <c r="V15" s="47" t="s">
        <v>67</v>
      </c>
      <c r="W15" s="48"/>
      <c r="X15" s="18">
        <f>(X4*J25)/2 + (X7-X8)/J25 +(X6-X8)/J24</f>
        <v>0.9174311926605504</v>
      </c>
      <c r="Y15" s="18"/>
      <c r="Z15" s="18"/>
      <c r="AA15" s="18"/>
      <c r="AB15" s="18">
        <v>0</v>
      </c>
      <c r="AC15" s="18"/>
      <c r="AD15" s="18"/>
      <c r="AE15" s="18"/>
      <c r="AF15" s="18">
        <f>AF4</f>
        <v>0.6116207951070336</v>
      </c>
      <c r="AG15" s="18"/>
      <c r="AH15" s="18"/>
      <c r="AI15" s="18"/>
      <c r="AJ15" s="18">
        <v>0</v>
      </c>
      <c r="AK15" s="18"/>
      <c r="AL15" s="18"/>
      <c r="AM15" s="18"/>
      <c r="AN15" s="8"/>
      <c r="AO15" s="8"/>
    </row>
    <row r="16" spans="2:41" x14ac:dyDescent="0.3">
      <c r="B16" s="52"/>
      <c r="C16" s="52"/>
      <c r="D16" s="52"/>
      <c r="H16" s="33"/>
      <c r="I16" s="33"/>
      <c r="J16" s="33"/>
      <c r="N16" s="33"/>
      <c r="O16" s="33"/>
      <c r="P16" s="33"/>
      <c r="U16" s="101"/>
      <c r="V16" s="47" t="s">
        <v>68</v>
      </c>
      <c r="W16" s="48"/>
      <c r="X16" s="18">
        <f>(X8-X7)/J25 +(X5-X7)/J24</f>
        <v>0</v>
      </c>
      <c r="Y16" s="18"/>
      <c r="Z16" s="18"/>
      <c r="AA16" s="18"/>
      <c r="AB16" s="18">
        <f>((2*AB4+AD4)*J24)/6+(AB5-AB7)/J24+(AB8-AB7)/J25</f>
        <v>0.4169215086646279</v>
      </c>
      <c r="AC16" s="18"/>
      <c r="AD16" s="18"/>
      <c r="AE16" s="18"/>
      <c r="AF16" s="18">
        <f>(3*AF4*J25*N19*(1+N20))/(2*J24*N25)</f>
        <v>7.6452599388379186E-2</v>
      </c>
      <c r="AG16" s="18"/>
      <c r="AH16" s="18"/>
      <c r="AI16" s="18"/>
      <c r="AJ16" s="18">
        <f>(AJ4*J24)/2</f>
        <v>0.1834862385321101</v>
      </c>
      <c r="AK16" s="18"/>
      <c r="AL16" s="18"/>
      <c r="AM16" s="18"/>
      <c r="AN16" s="8"/>
      <c r="AO16" s="8"/>
    </row>
    <row r="17" spans="5:37" x14ac:dyDescent="0.3">
      <c r="E17" s="92" t="s">
        <v>76</v>
      </c>
      <c r="F17" s="92"/>
      <c r="G17" s="92"/>
      <c r="H17" s="92"/>
      <c r="I17" s="92"/>
      <c r="J17" s="92"/>
      <c r="K17" s="92"/>
      <c r="L17" s="2"/>
      <c r="M17" s="2"/>
      <c r="N17" s="2"/>
      <c r="O17" s="2"/>
      <c r="P17" s="2"/>
    </row>
    <row r="18" spans="5:37" x14ac:dyDescent="0.3">
      <c r="E18" s="39" t="s">
        <v>6</v>
      </c>
      <c r="F18" s="39"/>
      <c r="G18" s="39"/>
      <c r="H18" s="39"/>
      <c r="I18" s="5" t="s">
        <v>3</v>
      </c>
      <c r="J18" s="5" t="s">
        <v>4</v>
      </c>
      <c r="K18" s="5" t="s">
        <v>5</v>
      </c>
      <c r="M18" s="94" t="s">
        <v>75</v>
      </c>
      <c r="N18" s="94"/>
    </row>
    <row r="19" spans="5:37" x14ac:dyDescent="0.3">
      <c r="E19" s="97" t="s">
        <v>7</v>
      </c>
      <c r="F19" s="98"/>
      <c r="G19" s="98"/>
      <c r="H19" s="99"/>
      <c r="I19" s="1" t="s">
        <v>15</v>
      </c>
      <c r="J19" s="10">
        <v>1</v>
      </c>
      <c r="K19" s="1" t="s">
        <v>27</v>
      </c>
      <c r="M19" s="105" t="s">
        <v>47</v>
      </c>
      <c r="N19" s="9">
        <f>J28/J26</f>
        <v>1</v>
      </c>
    </row>
    <row r="20" spans="5:37" x14ac:dyDescent="0.3">
      <c r="E20" s="97" t="s">
        <v>11</v>
      </c>
      <c r="F20" s="98"/>
      <c r="G20" s="98"/>
      <c r="H20" s="99"/>
      <c r="I20" s="1" t="s">
        <v>16</v>
      </c>
      <c r="J20" s="10">
        <v>1</v>
      </c>
      <c r="K20" s="1" t="s">
        <v>27</v>
      </c>
      <c r="M20" s="105" t="s">
        <v>48</v>
      </c>
      <c r="N20" s="9">
        <f>(J28/J27)*(J24/J25)</f>
        <v>1.0000000000000002</v>
      </c>
    </row>
    <row r="21" spans="5:37" x14ac:dyDescent="0.3">
      <c r="E21" s="97" t="s">
        <v>8</v>
      </c>
      <c r="F21" s="98"/>
      <c r="G21" s="98"/>
      <c r="H21" s="99"/>
      <c r="I21" s="1" t="s">
        <v>17</v>
      </c>
      <c r="J21" s="10">
        <v>0.2</v>
      </c>
      <c r="K21" s="1" t="s">
        <v>27</v>
      </c>
      <c r="M21" s="105" t="s">
        <v>49</v>
      </c>
      <c r="N21" s="9">
        <f>2*N20+3</f>
        <v>5</v>
      </c>
      <c r="U21" s="35" t="s">
        <v>81</v>
      </c>
      <c r="V21" s="35"/>
      <c r="W21" s="35"/>
      <c r="X21" s="35"/>
      <c r="Y21" s="35"/>
      <c r="AA21" s="38" t="s">
        <v>86</v>
      </c>
      <c r="AB21" s="38"/>
      <c r="AC21" s="38"/>
      <c r="AE21" s="32" t="s">
        <v>94</v>
      </c>
      <c r="AF21" s="32"/>
      <c r="AG21" s="32"/>
      <c r="AI21" s="16" t="s">
        <v>96</v>
      </c>
      <c r="AJ21" s="16"/>
      <c r="AK21" s="16"/>
    </row>
    <row r="22" spans="5:37" ht="16.2" x14ac:dyDescent="0.3">
      <c r="E22" s="97" t="s">
        <v>9</v>
      </c>
      <c r="F22" s="98"/>
      <c r="G22" s="98"/>
      <c r="H22" s="99"/>
      <c r="I22" s="1" t="s">
        <v>18</v>
      </c>
      <c r="J22" s="10">
        <v>0.2</v>
      </c>
      <c r="K22" s="1" t="s">
        <v>27</v>
      </c>
      <c r="M22" s="105" t="s">
        <v>50</v>
      </c>
      <c r="N22" s="9">
        <f>3*N19+2*N20</f>
        <v>5</v>
      </c>
      <c r="U22" s="12" t="s">
        <v>82</v>
      </c>
      <c r="V22" s="12" t="s">
        <v>85</v>
      </c>
      <c r="W22" s="17" t="s">
        <v>91</v>
      </c>
      <c r="X22" s="17"/>
      <c r="Y22" s="12" t="s">
        <v>141</v>
      </c>
      <c r="AA22" s="17" t="s">
        <v>82</v>
      </c>
      <c r="AB22" s="17"/>
      <c r="AC22" s="12" t="s">
        <v>90</v>
      </c>
      <c r="AE22" s="17" t="s">
        <v>92</v>
      </c>
      <c r="AF22" s="17"/>
      <c r="AG22" s="12" t="s">
        <v>93</v>
      </c>
      <c r="AI22" s="17" t="s">
        <v>97</v>
      </c>
      <c r="AJ22" s="17"/>
      <c r="AK22" s="12" t="s">
        <v>29</v>
      </c>
    </row>
    <row r="23" spans="5:37" ht="16.2" x14ac:dyDescent="0.3">
      <c r="E23" s="97" t="s">
        <v>10</v>
      </c>
      <c r="F23" s="98"/>
      <c r="G23" s="98"/>
      <c r="H23" s="99"/>
      <c r="I23" s="1" t="s">
        <v>19</v>
      </c>
      <c r="J23" s="10">
        <v>0.2</v>
      </c>
      <c r="K23" s="1" t="s">
        <v>27</v>
      </c>
      <c r="M23" s="105" t="s">
        <v>51</v>
      </c>
      <c r="N23" s="9">
        <f>3*N20+1-(N19/5)</f>
        <v>3.8000000000000007</v>
      </c>
      <c r="U23" s="1" t="s">
        <v>83</v>
      </c>
      <c r="V23" s="15">
        <v>0.5</v>
      </c>
      <c r="W23" s="24">
        <v>20</v>
      </c>
      <c r="X23" s="25"/>
      <c r="Y23" s="9">
        <f>V23*W23*(J19)</f>
        <v>10</v>
      </c>
      <c r="AA23" s="18" t="s">
        <v>89</v>
      </c>
      <c r="AB23" s="18"/>
      <c r="AC23" s="10">
        <v>20</v>
      </c>
      <c r="AE23" s="18" t="s">
        <v>144</v>
      </c>
      <c r="AF23" s="18"/>
      <c r="AG23" s="10">
        <v>9</v>
      </c>
      <c r="AI23" s="18" t="s">
        <v>98</v>
      </c>
      <c r="AJ23" s="18"/>
      <c r="AK23" s="9">
        <f>F8*J22*(J20+J21)</f>
        <v>6</v>
      </c>
    </row>
    <row r="24" spans="5:37" x14ac:dyDescent="0.3">
      <c r="E24" s="97" t="s">
        <v>12</v>
      </c>
      <c r="F24" s="98"/>
      <c r="G24" s="98"/>
      <c r="H24" s="99"/>
      <c r="I24" s="1" t="s">
        <v>20</v>
      </c>
      <c r="J24" s="9">
        <f>J20+J21/2+J23/2</f>
        <v>1.2000000000000002</v>
      </c>
      <c r="K24" s="1" t="s">
        <v>27</v>
      </c>
      <c r="M24" s="105" t="s">
        <v>52</v>
      </c>
      <c r="N24" s="9">
        <f>(6*N19)/5+3*N20</f>
        <v>4.2000000000000011</v>
      </c>
      <c r="U24" s="1" t="s">
        <v>84</v>
      </c>
      <c r="V24" s="15">
        <v>0</v>
      </c>
      <c r="W24" s="24">
        <v>20</v>
      </c>
      <c r="X24" s="25"/>
      <c r="Y24" s="9">
        <f>V24*W24*(J19+2*J22)</f>
        <v>0</v>
      </c>
      <c r="AA24" s="18" t="s">
        <v>39</v>
      </c>
      <c r="AB24" s="18"/>
      <c r="AC24" s="10">
        <v>0</v>
      </c>
      <c r="AE24" s="18" t="s">
        <v>136</v>
      </c>
      <c r="AF24" s="18"/>
      <c r="AG24" s="9">
        <f>AC26*AG23</f>
        <v>3</v>
      </c>
    </row>
    <row r="25" spans="5:37" x14ac:dyDescent="0.3">
      <c r="E25" s="97" t="s">
        <v>13</v>
      </c>
      <c r="F25" s="98"/>
      <c r="G25" s="98"/>
      <c r="H25" s="99"/>
      <c r="I25" s="1" t="s">
        <v>21</v>
      </c>
      <c r="J25" s="9">
        <f>J19+J22</f>
        <v>1.2</v>
      </c>
      <c r="K25" s="1" t="s">
        <v>27</v>
      </c>
      <c r="M25" s="105" t="s">
        <v>53</v>
      </c>
      <c r="N25" s="9">
        <f>N21*N22-N20^2</f>
        <v>24</v>
      </c>
      <c r="U25" s="1" t="s">
        <v>145</v>
      </c>
      <c r="V25" s="70">
        <f>J21</f>
        <v>0.2</v>
      </c>
      <c r="W25" s="24">
        <v>25</v>
      </c>
      <c r="X25" s="25"/>
      <c r="Y25" s="9">
        <f>W25*V25*(J19)</f>
        <v>5</v>
      </c>
      <c r="AA25" s="18" t="s">
        <v>95</v>
      </c>
      <c r="AB25" s="18"/>
      <c r="AC25" s="10">
        <v>30</v>
      </c>
    </row>
    <row r="26" spans="5:37" ht="16.2" x14ac:dyDescent="0.3">
      <c r="E26" s="97" t="s">
        <v>24</v>
      </c>
      <c r="F26" s="98"/>
      <c r="G26" s="98"/>
      <c r="H26" s="99"/>
      <c r="I26" s="1" t="s">
        <v>22</v>
      </c>
      <c r="J26" s="9">
        <f>(1*J23^3)/12</f>
        <v>6.6666666666666686E-4</v>
      </c>
      <c r="K26" s="1" t="s">
        <v>28</v>
      </c>
      <c r="M26" s="105" t="s">
        <v>54</v>
      </c>
      <c r="N26" s="9">
        <f>1+N19+6*N20</f>
        <v>8.0000000000000018</v>
      </c>
      <c r="X26" s="55" t="s">
        <v>122</v>
      </c>
      <c r="Y26" s="14">
        <f>SUM(Y23:Y25)</f>
        <v>15</v>
      </c>
      <c r="AA26" s="18" t="s">
        <v>88</v>
      </c>
      <c r="AB26" s="18"/>
      <c r="AC26" s="9">
        <f>(TAN(RADIANS(45-AC25/2)))^2</f>
        <v>0.33333333333333331</v>
      </c>
    </row>
    <row r="27" spans="5:37" ht="16.2" x14ac:dyDescent="0.3">
      <c r="E27" s="97" t="s">
        <v>14</v>
      </c>
      <c r="F27" s="98"/>
      <c r="G27" s="98"/>
      <c r="H27" s="99"/>
      <c r="I27" s="1" t="s">
        <v>23</v>
      </c>
      <c r="J27" s="9">
        <f>(1*J22^3)/12</f>
        <v>6.6666666666666686E-4</v>
      </c>
      <c r="K27" s="1" t="s">
        <v>28</v>
      </c>
      <c r="AA27" s="18" t="s">
        <v>87</v>
      </c>
      <c r="AB27" s="18"/>
      <c r="AC27" s="9">
        <f>V23+V24+V25/2</f>
        <v>0.6</v>
      </c>
    </row>
    <row r="28" spans="5:37" ht="16.2" x14ac:dyDescent="0.3">
      <c r="E28" s="97" t="s">
        <v>25</v>
      </c>
      <c r="F28" s="98"/>
      <c r="G28" s="98"/>
      <c r="H28" s="99"/>
      <c r="I28" s="1" t="s">
        <v>26</v>
      </c>
      <c r="J28" s="9">
        <f>(1*J21^3)/12</f>
        <v>6.6666666666666686E-4</v>
      </c>
      <c r="K28" s="1" t="s">
        <v>28</v>
      </c>
      <c r="AA28" s="41" t="s">
        <v>137</v>
      </c>
      <c r="AB28" s="41"/>
      <c r="AC28" s="9">
        <f>AC26*AC23*AC27-2*AC24*SQRT(AC26)</f>
        <v>3.9999999999999996</v>
      </c>
    </row>
    <row r="29" spans="5:37" x14ac:dyDescent="0.3">
      <c r="E29" s="50"/>
      <c r="F29" s="50"/>
      <c r="G29" s="50"/>
      <c r="H29" s="50"/>
      <c r="I29" s="49"/>
      <c r="J29" s="49"/>
      <c r="K29" s="49"/>
      <c r="AA29" s="41" t="s">
        <v>138</v>
      </c>
      <c r="AB29" s="41"/>
      <c r="AC29" s="9">
        <f>AC26*AC23*(AC27+J20+J21+J23/2)-2*AC24*SQRT(AC26)</f>
        <v>12.666666666666666</v>
      </c>
    </row>
    <row r="30" spans="5:37" ht="23.4" customHeight="1" x14ac:dyDescent="0.3">
      <c r="E30" s="50"/>
      <c r="F30" s="50"/>
      <c r="G30" s="50"/>
      <c r="H30" s="50"/>
      <c r="I30" s="49"/>
      <c r="J30" s="49"/>
      <c r="K30" s="49"/>
    </row>
    <row r="31" spans="5:37" ht="21" customHeight="1" x14ac:dyDescent="0.3"/>
    <row r="32" spans="5:37" x14ac:dyDescent="0.3">
      <c r="U32" s="19" t="s">
        <v>103</v>
      </c>
      <c r="V32" s="19"/>
      <c r="W32" s="19"/>
      <c r="X32" s="19"/>
      <c r="Y32" s="19"/>
      <c r="Z32" s="19"/>
      <c r="AA32" s="19"/>
      <c r="AB32" s="19"/>
      <c r="AC32" s="19"/>
      <c r="AD32" s="19"/>
    </row>
    <row r="33" spans="21:35" x14ac:dyDescent="0.3">
      <c r="U33" s="17" t="s">
        <v>97</v>
      </c>
      <c r="V33" s="17"/>
      <c r="W33" s="17" t="s">
        <v>139</v>
      </c>
      <c r="X33" s="17"/>
      <c r="Y33" s="22" t="s">
        <v>110</v>
      </c>
      <c r="Z33" s="23"/>
      <c r="AA33" s="22" t="s">
        <v>107</v>
      </c>
      <c r="AB33" s="23"/>
      <c r="AC33" s="22" t="s">
        <v>140</v>
      </c>
      <c r="AD33" s="23"/>
    </row>
    <row r="34" spans="21:35" x14ac:dyDescent="0.3">
      <c r="U34" s="96" t="s">
        <v>105</v>
      </c>
      <c r="V34" s="96"/>
      <c r="W34" s="20">
        <f>12</f>
        <v>12</v>
      </c>
      <c r="X34" s="21"/>
      <c r="Y34" s="24">
        <v>1.1000000000000001</v>
      </c>
      <c r="Z34" s="25"/>
      <c r="AA34" s="20">
        <f>(0.25+2*AC27)^2</f>
        <v>2.1025</v>
      </c>
      <c r="AB34" s="21"/>
      <c r="AC34" s="36">
        <f>((W34*Y34)/AA34)*(1+0.64/(1+0.2*1))</f>
        <v>9.6266349583828781</v>
      </c>
      <c r="AD34" s="37"/>
    </row>
    <row r="35" spans="21:35" x14ac:dyDescent="0.3">
      <c r="U35" s="96" t="s">
        <v>104</v>
      </c>
      <c r="V35" s="96"/>
      <c r="W35" s="20">
        <f>16</f>
        <v>16</v>
      </c>
      <c r="X35" s="21"/>
      <c r="Y35" s="24">
        <v>1</v>
      </c>
      <c r="Z35" s="25"/>
      <c r="AA35" s="20">
        <f>(0.25+2*AC27)*(0.6+AC27)</f>
        <v>1.74</v>
      </c>
      <c r="AB35" s="21"/>
      <c r="AC35" s="36">
        <f>(W35*Y35)/AA35</f>
        <v>9.1954022988505741</v>
      </c>
      <c r="AD35" s="37"/>
    </row>
    <row r="36" spans="21:35" x14ac:dyDescent="0.3">
      <c r="U36" s="96" t="s">
        <v>106</v>
      </c>
      <c r="V36" s="96"/>
      <c r="W36" s="20">
        <f>10</f>
        <v>10</v>
      </c>
      <c r="X36" s="21"/>
      <c r="Y36" s="64"/>
      <c r="Z36" s="65"/>
      <c r="AA36" s="20">
        <f>(0.3+2*AC27)*(0.6+2*AC27)</f>
        <v>2.6999999999999997</v>
      </c>
      <c r="AB36" s="21"/>
      <c r="AC36" s="36">
        <f>W36/AA36</f>
        <v>3.7037037037037042</v>
      </c>
      <c r="AD36" s="37"/>
    </row>
    <row r="38" spans="21:35" x14ac:dyDescent="0.3">
      <c r="V38" s="52"/>
      <c r="W38" s="62" t="s">
        <v>111</v>
      </c>
      <c r="X38" s="62"/>
      <c r="Y38" s="62"/>
      <c r="Z38" s="62"/>
      <c r="AA38" s="62"/>
      <c r="AB38" s="62"/>
      <c r="AC38" s="62"/>
      <c r="AD38" s="62"/>
      <c r="AE38" s="62"/>
      <c r="AF38" s="62"/>
      <c r="AG38" s="63"/>
      <c r="AH38" s="59"/>
      <c r="AI38" s="59"/>
    </row>
    <row r="39" spans="21:35" x14ac:dyDescent="0.3">
      <c r="V39" s="76" t="s">
        <v>92</v>
      </c>
      <c r="W39" s="61" t="s">
        <v>57</v>
      </c>
      <c r="X39" s="61" t="s">
        <v>58</v>
      </c>
      <c r="Y39" s="61" t="s">
        <v>59</v>
      </c>
      <c r="Z39" s="61" t="s">
        <v>60</v>
      </c>
      <c r="AA39" s="61" t="s">
        <v>125</v>
      </c>
      <c r="AB39" s="61" t="s">
        <v>124</v>
      </c>
      <c r="AC39" s="61" t="s">
        <v>123</v>
      </c>
      <c r="AD39" s="61" t="s">
        <v>65</v>
      </c>
      <c r="AE39" s="61" t="s">
        <v>66</v>
      </c>
      <c r="AF39" s="61" t="s">
        <v>67</v>
      </c>
      <c r="AG39" s="61" t="s">
        <v>68</v>
      </c>
      <c r="AH39" s="60"/>
      <c r="AI39" s="60"/>
    </row>
    <row r="40" spans="21:35" x14ac:dyDescent="0.3">
      <c r="U40" s="72" t="s">
        <v>114</v>
      </c>
      <c r="V40" s="13">
        <v>1</v>
      </c>
      <c r="W40" s="1">
        <f>X5</f>
        <v>-9.1743119266055051E-2</v>
      </c>
      <c r="X40" s="1">
        <f>X6</f>
        <v>-9.1743119266055051E-2</v>
      </c>
      <c r="Y40" s="1">
        <f>X7</f>
        <v>-9.1743119266055051E-2</v>
      </c>
      <c r="Z40" s="1">
        <f>X8</f>
        <v>-9.1743119266055051E-2</v>
      </c>
      <c r="AA40" s="1">
        <f>X9</f>
        <v>0.1834862385321101</v>
      </c>
      <c r="AB40" s="1">
        <f>X10</f>
        <v>0.1834862385321101</v>
      </c>
      <c r="AC40" s="1">
        <f>X11</f>
        <v>-9.1743119266055051E-2</v>
      </c>
      <c r="AD40" s="1">
        <f>X13</f>
        <v>0</v>
      </c>
      <c r="AE40" s="1">
        <f>X14</f>
        <v>0.9174311926605504</v>
      </c>
      <c r="AF40" s="1">
        <f>X15</f>
        <v>0.9174311926605504</v>
      </c>
      <c r="AG40" s="1">
        <f>X16</f>
        <v>0</v>
      </c>
      <c r="AH40" s="60"/>
      <c r="AI40" s="60"/>
    </row>
    <row r="41" spans="21:35" x14ac:dyDescent="0.3">
      <c r="U41" s="72" t="s">
        <v>116</v>
      </c>
      <c r="V41" s="13">
        <v>2</v>
      </c>
      <c r="W41" s="1">
        <f>AF5</f>
        <v>-7.64525993883792E-2</v>
      </c>
      <c r="X41" s="1">
        <f>AF6</f>
        <v>-7.64525993883792E-2</v>
      </c>
      <c r="Y41" s="1">
        <f>AF7</f>
        <v>1.5290519877675842E-2</v>
      </c>
      <c r="Z41" s="1">
        <f>AF8</f>
        <v>1.5290519877675842E-2</v>
      </c>
      <c r="AA41" s="1">
        <f>AF9</f>
        <v>1.5290519877675842E-2</v>
      </c>
      <c r="AB41" s="1">
        <f>AF10</f>
        <v>0.10703363914373087</v>
      </c>
      <c r="AC41" s="1">
        <f>AF11</f>
        <v>-3.0581039755351678E-2</v>
      </c>
      <c r="AD41" s="1">
        <f>AF13</f>
        <v>7.6452599388379186E-2</v>
      </c>
      <c r="AE41" s="1">
        <f>AF14</f>
        <v>0.6116207951070336</v>
      </c>
      <c r="AF41" s="1">
        <f>AF15</f>
        <v>0.6116207951070336</v>
      </c>
      <c r="AG41" s="1">
        <f>AF16</f>
        <v>7.6452599388379186E-2</v>
      </c>
      <c r="AH41" s="60"/>
      <c r="AI41" s="60"/>
    </row>
    <row r="42" spans="21:35" x14ac:dyDescent="0.3">
      <c r="U42" s="72" t="s">
        <v>115</v>
      </c>
      <c r="V42" s="13">
        <v>3</v>
      </c>
      <c r="W42" s="1">
        <f>AB5</f>
        <v>-5.3618756371049965E-2</v>
      </c>
      <c r="X42" s="1">
        <f>AB6</f>
        <v>-5.3618756371049965E-2</v>
      </c>
      <c r="Y42" s="1">
        <f>AB7</f>
        <v>-4.8318042813455669E-2</v>
      </c>
      <c r="Z42" s="1">
        <f>AB8</f>
        <v>-4.8318042813455669E-2</v>
      </c>
      <c r="AA42" s="1">
        <f>AB9</f>
        <v>-4.8318042813455669E-2</v>
      </c>
      <c r="AB42" s="1">
        <f>AB10</f>
        <v>-5.3618756371049965E-2</v>
      </c>
      <c r="AC42" s="1">
        <f>AB11</f>
        <v>0.12844036697247707</v>
      </c>
      <c r="AD42" s="1">
        <f>AB13</f>
        <v>0.60244648318042815</v>
      </c>
      <c r="AE42" s="1">
        <f>AB14</f>
        <v>0</v>
      </c>
      <c r="AF42" s="1">
        <f>AB15</f>
        <v>0</v>
      </c>
      <c r="AG42" s="1">
        <f>AB16</f>
        <v>0.4169215086646279</v>
      </c>
      <c r="AH42" s="60"/>
      <c r="AI42" s="60"/>
    </row>
    <row r="43" spans="21:35" x14ac:dyDescent="0.3">
      <c r="U43" s="72" t="s">
        <v>126</v>
      </c>
      <c r="V43" s="13">
        <v>4</v>
      </c>
      <c r="W43" s="1">
        <f>-((AC34*$J$25^2)*($N$19*$N$21-$N$20))/(4*$N$25)</f>
        <v>-0.57759809750297264</v>
      </c>
      <c r="X43" s="1">
        <f>-((AC34*$J$25^2)*($N$19*$N$21-$N$20))/(4*$N$25)</f>
        <v>-0.57759809750297264</v>
      </c>
      <c r="Y43" s="1">
        <f>((-AC34*$J$25^2)/(4*$N$25))*($N$22-$N$19*$N$20)</f>
        <v>-0.57759809750297264</v>
      </c>
      <c r="Z43" s="1">
        <f>((-AC34*$J$25^2)/(4*$N$25))*($N$22-$N$19*$N$20)</f>
        <v>-0.57759809750297264</v>
      </c>
      <c r="AA43" s="1">
        <f>(Y43+Z43)/2+(AC34*$J$25^2)/8</f>
        <v>1.1551961950059453</v>
      </c>
      <c r="AB43" s="1">
        <f>(W43+X43)/2+(AC34*$J$25^2)/2</f>
        <v>6.3535790725326988</v>
      </c>
      <c r="AC43" s="1">
        <f>(W43+Y43)/2</f>
        <v>-0.57759809750297264</v>
      </c>
      <c r="AD43" s="1">
        <f>(Y43-Z43)/$J$24</f>
        <v>0</v>
      </c>
      <c r="AE43" s="1">
        <f>(AC34*$J$25)/2</f>
        <v>5.7759809750297268</v>
      </c>
      <c r="AF43" s="1">
        <f>(AC34*$J$25)/2</f>
        <v>5.7759809750297268</v>
      </c>
      <c r="AG43" s="1">
        <f>(Y43-Z43)/$J$24</f>
        <v>0</v>
      </c>
      <c r="AH43" s="60"/>
      <c r="AI43" s="60"/>
    </row>
    <row r="44" spans="21:35" x14ac:dyDescent="0.3">
      <c r="U44" s="72" t="s">
        <v>127</v>
      </c>
      <c r="V44" s="13">
        <v>5</v>
      </c>
      <c r="W44" s="1">
        <f t="shared" ref="W44:W45" si="0">-((AC35*$J$25^2)*($N$19*$N$21-$N$20))/(4*$N$25)</f>
        <v>-0.55172413793103436</v>
      </c>
      <c r="X44" s="1">
        <f t="shared" ref="X44:X45" si="1">-((AC35*$J$25^2)*($N$19*$N$21-$N$20))/(4*$N$25)</f>
        <v>-0.55172413793103436</v>
      </c>
      <c r="Y44" s="1">
        <f t="shared" ref="Y44:Y45" si="2">((-AC35*$J$25^2)/(4*$N$25))*($N$22-$N$19*$N$20)</f>
        <v>-0.55172413793103436</v>
      </c>
      <c r="Z44" s="1">
        <f t="shared" ref="Z44:Z45" si="3">((-AC35*$J$25^2)/(4*$N$25))*($N$22-$N$19*$N$20)</f>
        <v>-0.55172413793103436</v>
      </c>
      <c r="AA44" s="1">
        <f t="shared" ref="AA44:AA45" si="4">(Y44+Z44)/2+(AC35*$J$25^2)/8</f>
        <v>1.103448275862069</v>
      </c>
      <c r="AB44" s="1">
        <f t="shared" ref="AB44:AB45" si="5">(W44+X44)/2+(AC35*$J$25^2)/2</f>
        <v>6.0689655172413781</v>
      </c>
      <c r="AC44" s="1">
        <f t="shared" ref="AC44:AC45" si="6">(W44+Y44)/2</f>
        <v>-0.55172413793103436</v>
      </c>
      <c r="AD44" s="1">
        <f t="shared" ref="AD44:AD45" si="7">(Y44-Z44)/$J$24</f>
        <v>0</v>
      </c>
      <c r="AE44" s="1">
        <f t="shared" ref="AE44:AE45" si="8">(AC35*$J$25)/2</f>
        <v>5.5172413793103443</v>
      </c>
      <c r="AF44" s="1">
        <f t="shared" ref="AF44:AF45" si="9">(AC35*$J$25)/2</f>
        <v>5.5172413793103443</v>
      </c>
      <c r="AG44" s="1">
        <f t="shared" ref="AG44:AG45" si="10">(Y44-Z44)/$J$24</f>
        <v>0</v>
      </c>
      <c r="AH44" s="60"/>
      <c r="AI44" s="60"/>
    </row>
    <row r="45" spans="21:35" x14ac:dyDescent="0.3">
      <c r="U45" s="72" t="s">
        <v>128</v>
      </c>
      <c r="V45" s="13">
        <v>6</v>
      </c>
      <c r="W45" s="1">
        <f t="shared" si="0"/>
        <v>-0.22222222222222224</v>
      </c>
      <c r="X45" s="1">
        <f t="shared" si="1"/>
        <v>-0.22222222222222224</v>
      </c>
      <c r="Y45" s="1">
        <f t="shared" si="2"/>
        <v>-0.22222222222222224</v>
      </c>
      <c r="Z45" s="1">
        <f t="shared" si="3"/>
        <v>-0.22222222222222224</v>
      </c>
      <c r="AA45" s="1">
        <f t="shared" si="4"/>
        <v>0.44444444444444453</v>
      </c>
      <c r="AB45" s="1">
        <f t="shared" si="5"/>
        <v>2.4444444444444446</v>
      </c>
      <c r="AC45" s="1">
        <f t="shared" si="6"/>
        <v>-0.22222222222222224</v>
      </c>
      <c r="AD45" s="1">
        <f t="shared" si="7"/>
        <v>0</v>
      </c>
      <c r="AE45" s="1">
        <f t="shared" si="8"/>
        <v>2.2222222222222223</v>
      </c>
      <c r="AF45" s="1">
        <f t="shared" si="9"/>
        <v>2.2222222222222223</v>
      </c>
      <c r="AG45" s="1">
        <f t="shared" si="10"/>
        <v>0</v>
      </c>
      <c r="AH45" s="60"/>
      <c r="AI45" s="60"/>
    </row>
    <row r="46" spans="21:35" x14ac:dyDescent="0.3">
      <c r="U46" s="72" t="s">
        <v>121</v>
      </c>
      <c r="V46" s="13" t="s">
        <v>129</v>
      </c>
      <c r="W46" s="66">
        <f t="array" ref="W46">IF(MAX(W43:W45)=MAX(ABS(W43:W45)),MAX(W43:W45),MIN(W43:W45))</f>
        <v>-0.57759809750297264</v>
      </c>
      <c r="X46" s="66">
        <f t="array" ref="X46">IF(MAX(X43:X45)=MAX(ABS(X43:X45)),MAX(X43:X45),MIN(X43:X45))</f>
        <v>-0.57759809750297264</v>
      </c>
      <c r="Y46" s="66">
        <f t="array" ref="Y46">IF(MAX(Y43:Y45)=MAX(ABS(Y43:Y45)),MAX(Y43:Y45),MIN(Y43:Y45))</f>
        <v>-0.57759809750297264</v>
      </c>
      <c r="Z46" s="66">
        <f t="array" ref="Z46">IF(MAX(Z43:Z45)=MAX(ABS(Z43:Z45)),MAX(Z43:Z45),MIN(Z43:Z45))</f>
        <v>-0.57759809750297264</v>
      </c>
      <c r="AA46" s="66">
        <f t="array" ref="AA46">IF(MAX(AA43:AA45)=MAX(ABS(AA43:AA45)),MAX(AA43:AA45),MIN(AA43:AA45))</f>
        <v>1.1551961950059453</v>
      </c>
      <c r="AB46" s="66">
        <f t="array" ref="AB46">IF(MAX(AB43:AB45)=MAX(ABS(AB43:AB45)),MAX(AB43:AB45),MIN(AB43:AB45))</f>
        <v>6.3535790725326988</v>
      </c>
      <c r="AC46" s="66">
        <f t="array" ref="AC46">IF(MAX(AC43:AC45)=MAX(ABS(AC43:AC45)),MAX(AC43:AC45),MIN(AC43:AC45))</f>
        <v>-0.57759809750297264</v>
      </c>
      <c r="AD46" s="66">
        <f t="array" ref="AD46">IF(MAX(AD43:AD45)=MAX(ABS(AD43:AD45)),MAX(AD43:AD45),MIN(AD43:AD45))</f>
        <v>0</v>
      </c>
      <c r="AE46" s="66">
        <f t="array" ref="AE46">IF(MAX(AE43:AE45)=MAX(ABS(AE43:AE45)),MAX(AE43:AE45),MIN(AE43:AE45))</f>
        <v>5.7759809750297268</v>
      </c>
      <c r="AF46" s="66">
        <f t="array" ref="AF46">IF(MAX(AF43:AF45)=MAX(ABS(AF43:AF45)),MAX(AF43:AF45),MIN(AF43:AF45))</f>
        <v>5.7759809750297268</v>
      </c>
      <c r="AG46" s="66">
        <f t="array" ref="AG46">IF(MAX(AG43:AG45)=MAX(ABS(AG43:AG45)),MAX(AG43:AG45),MIN(AG43:AG45))</f>
        <v>0</v>
      </c>
      <c r="AH46" s="60"/>
      <c r="AI46" s="60"/>
    </row>
    <row r="47" spans="21:35" x14ac:dyDescent="0.3">
      <c r="U47" s="72" t="s">
        <v>117</v>
      </c>
      <c r="V47" s="13">
        <v>8</v>
      </c>
      <c r="W47" s="1">
        <f>AJ5</f>
        <v>-1.8348623853211017E-2</v>
      </c>
      <c r="X47" s="1">
        <f>AJ6</f>
        <v>-1.8348623853211017E-2</v>
      </c>
      <c r="Y47" s="1">
        <f>AJ7</f>
        <v>-1.8348623853211017E-2</v>
      </c>
      <c r="Z47" s="1">
        <f>+AJ8</f>
        <v>-1.8348623853211017E-2</v>
      </c>
      <c r="AA47" s="1">
        <f>AJ9</f>
        <v>-1.8348623853211017E-2</v>
      </c>
      <c r="AB47" s="1">
        <f>AJ10</f>
        <v>-1.8348623853211017E-2</v>
      </c>
      <c r="AC47" s="1">
        <f>AJ11</f>
        <v>3.669724770642202E-2</v>
      </c>
      <c r="AD47" s="1">
        <f>AJ13</f>
        <v>0.1834862385321101</v>
      </c>
      <c r="AE47" s="1">
        <f>AJ14</f>
        <v>0</v>
      </c>
      <c r="AF47" s="1">
        <f>AJ15</f>
        <v>0</v>
      </c>
      <c r="AG47" s="1">
        <f>AJ16</f>
        <v>0.1834862385321101</v>
      </c>
      <c r="AH47" s="60"/>
      <c r="AI47" s="60"/>
    </row>
    <row r="48" spans="21:35" x14ac:dyDescent="0.3">
      <c r="U48" s="72" t="s">
        <v>113</v>
      </c>
      <c r="V48" s="13" t="s">
        <v>120</v>
      </c>
      <c r="W48" s="67">
        <f>W40+W41+W42</f>
        <v>-0.22181447502548421</v>
      </c>
      <c r="X48" s="67">
        <f t="shared" ref="X48:AG48" si="11">X40+X41+X42</f>
        <v>-0.22181447502548421</v>
      </c>
      <c r="Y48" s="67">
        <f t="shared" si="11"/>
        <v>-0.12477064220183488</v>
      </c>
      <c r="Z48" s="67">
        <f t="shared" si="11"/>
        <v>-0.12477064220183488</v>
      </c>
      <c r="AA48" s="67">
        <f t="shared" si="11"/>
        <v>0.15045871559633028</v>
      </c>
      <c r="AB48" s="67">
        <f t="shared" si="11"/>
        <v>0.23690112130479102</v>
      </c>
      <c r="AC48" s="67">
        <f t="shared" si="11"/>
        <v>6.116207951070346E-3</v>
      </c>
      <c r="AD48" s="67">
        <f t="shared" si="11"/>
        <v>0.67889908256880738</v>
      </c>
      <c r="AE48" s="67">
        <f t="shared" si="11"/>
        <v>1.5290519877675841</v>
      </c>
      <c r="AF48" s="67">
        <f t="shared" si="11"/>
        <v>1.5290519877675841</v>
      </c>
      <c r="AG48" s="67">
        <f t="shared" si="11"/>
        <v>0.49337410805300708</v>
      </c>
      <c r="AH48" s="60"/>
      <c r="AI48" s="60"/>
    </row>
    <row r="49" spans="3:35" x14ac:dyDescent="0.3">
      <c r="U49" s="72" t="s">
        <v>112</v>
      </c>
      <c r="V49" s="13" t="s">
        <v>130</v>
      </c>
      <c r="W49" s="68">
        <f>W46+W47</f>
        <v>-0.59594672135618365</v>
      </c>
      <c r="X49" s="68">
        <f t="shared" ref="X49:AG49" si="12">X46+X47</f>
        <v>-0.59594672135618365</v>
      </c>
      <c r="Y49" s="68">
        <f t="shared" si="12"/>
        <v>-0.59594672135618365</v>
      </c>
      <c r="Z49" s="68">
        <f t="shared" si="12"/>
        <v>-0.59594672135618365</v>
      </c>
      <c r="AA49" s="68">
        <f t="shared" si="12"/>
        <v>1.1368475711527342</v>
      </c>
      <c r="AB49" s="68">
        <f t="shared" si="12"/>
        <v>6.3352304486794875</v>
      </c>
      <c r="AC49" s="68">
        <f t="shared" si="12"/>
        <v>-0.54090084979655062</v>
      </c>
      <c r="AD49" s="68">
        <f t="shared" si="12"/>
        <v>0.1834862385321101</v>
      </c>
      <c r="AE49" s="68">
        <f t="shared" si="12"/>
        <v>5.7759809750297268</v>
      </c>
      <c r="AF49" s="68">
        <f t="shared" si="12"/>
        <v>5.7759809750297268</v>
      </c>
      <c r="AG49" s="68">
        <f t="shared" si="12"/>
        <v>0.1834862385321101</v>
      </c>
      <c r="AH49" s="60"/>
      <c r="AI49" s="60"/>
    </row>
    <row r="50" spans="3:35" x14ac:dyDescent="0.3">
      <c r="E50" s="3"/>
      <c r="F50" s="3"/>
      <c r="G50" s="3"/>
      <c r="H50" s="3"/>
      <c r="U50" s="73" t="s">
        <v>118</v>
      </c>
      <c r="V50" s="74"/>
      <c r="W50" s="53">
        <f>1.35*W48+1.5*W49</f>
        <v>-1.193369623318679</v>
      </c>
      <c r="X50" s="53">
        <f t="shared" ref="X50:AG50" si="13">1.35*X48+1.5*X49</f>
        <v>-1.193369623318679</v>
      </c>
      <c r="Y50" s="53">
        <f t="shared" si="13"/>
        <v>-1.0623604490067526</v>
      </c>
      <c r="Z50" s="53">
        <f t="shared" si="13"/>
        <v>-1.0623604490067526</v>
      </c>
      <c r="AA50" s="53">
        <f t="shared" si="13"/>
        <v>1.908390622784147</v>
      </c>
      <c r="AB50" s="53">
        <f t="shared" si="13"/>
        <v>9.8226621867806987</v>
      </c>
      <c r="AC50" s="53">
        <f t="shared" si="13"/>
        <v>-0.803094393960881</v>
      </c>
      <c r="AD50" s="53">
        <f t="shared" si="13"/>
        <v>1.191743119266055</v>
      </c>
      <c r="AE50" s="53">
        <f t="shared" si="13"/>
        <v>10.72819164603083</v>
      </c>
      <c r="AF50" s="53">
        <f t="shared" si="13"/>
        <v>10.72819164603083</v>
      </c>
      <c r="AG50" s="53">
        <f t="shared" si="13"/>
        <v>0.94128440366972477</v>
      </c>
      <c r="AH50" s="60"/>
      <c r="AI50" s="60"/>
    </row>
    <row r="51" spans="3:35" x14ac:dyDescent="0.3">
      <c r="E51" s="4"/>
      <c r="F51" s="4"/>
      <c r="G51" s="4"/>
      <c r="H51" s="4"/>
      <c r="U51" s="75" t="s">
        <v>119</v>
      </c>
      <c r="V51" s="75"/>
      <c r="W51" s="53">
        <f>W48+W49</f>
        <v>-0.81776119638166789</v>
      </c>
      <c r="X51" s="53">
        <f t="shared" ref="X51:AG51" si="14">X48+X49</f>
        <v>-0.81776119638166789</v>
      </c>
      <c r="Y51" s="53">
        <f t="shared" si="14"/>
        <v>-0.72071736355801852</v>
      </c>
      <c r="Z51" s="53">
        <f t="shared" si="14"/>
        <v>-0.72071736355801852</v>
      </c>
      <c r="AA51" s="53">
        <f t="shared" si="14"/>
        <v>1.2873062867490646</v>
      </c>
      <c r="AB51" s="53">
        <f t="shared" si="14"/>
        <v>6.5721315699842782</v>
      </c>
      <c r="AC51" s="53">
        <f t="shared" si="14"/>
        <v>-0.53478464184548025</v>
      </c>
      <c r="AD51" s="53">
        <f t="shared" si="14"/>
        <v>0.86238532110091748</v>
      </c>
      <c r="AE51" s="53">
        <f t="shared" si="14"/>
        <v>7.305032962797311</v>
      </c>
      <c r="AF51" s="53">
        <f t="shared" si="14"/>
        <v>7.305032962797311</v>
      </c>
      <c r="AG51" s="53">
        <f t="shared" si="14"/>
        <v>0.67686034658511718</v>
      </c>
      <c r="AH51" s="60"/>
      <c r="AI51" s="60"/>
    </row>
    <row r="52" spans="3:35" x14ac:dyDescent="0.3">
      <c r="E52" s="4"/>
      <c r="F52" s="4"/>
      <c r="G52" s="4"/>
      <c r="H52" s="4"/>
      <c r="AH52" s="60"/>
      <c r="AI52" s="60"/>
    </row>
    <row r="53" spans="3:35" x14ac:dyDescent="0.3">
      <c r="C53" s="95" t="s">
        <v>146</v>
      </c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</row>
    <row r="54" spans="3:35" x14ac:dyDescent="0.3">
      <c r="C54" s="77" t="s">
        <v>147</v>
      </c>
      <c r="D54" s="77"/>
      <c r="E54" s="77"/>
      <c r="F54" s="78" t="s">
        <v>151</v>
      </c>
      <c r="G54" s="78"/>
      <c r="H54" s="78"/>
      <c r="I54" s="79" t="s">
        <v>164</v>
      </c>
      <c r="J54" s="79"/>
      <c r="K54" s="79"/>
      <c r="L54" s="79"/>
      <c r="M54" s="80" t="s">
        <v>167</v>
      </c>
      <c r="N54" s="80"/>
      <c r="O54" s="80"/>
      <c r="P54" s="80"/>
      <c r="Q54" s="89" t="s">
        <v>176</v>
      </c>
      <c r="R54" s="89"/>
      <c r="S54" s="89"/>
    </row>
    <row r="55" spans="3:35" ht="14.4" customHeight="1" x14ac:dyDescent="0.3">
      <c r="C55" s="81" t="s">
        <v>148</v>
      </c>
      <c r="D55" s="81" t="s">
        <v>149</v>
      </c>
      <c r="E55" s="82" t="s">
        <v>150</v>
      </c>
      <c r="F55" s="83" t="s">
        <v>97</v>
      </c>
      <c r="G55" s="83" t="s">
        <v>149</v>
      </c>
      <c r="H55" s="83" t="s">
        <v>30</v>
      </c>
      <c r="I55" s="84" t="s">
        <v>159</v>
      </c>
      <c r="J55" s="84" t="s">
        <v>161</v>
      </c>
      <c r="K55" s="84" t="s">
        <v>93</v>
      </c>
      <c r="L55" s="84" t="s">
        <v>5</v>
      </c>
      <c r="M55" s="85" t="s">
        <v>97</v>
      </c>
      <c r="N55" s="86" t="s">
        <v>161</v>
      </c>
      <c r="O55" s="86" t="s">
        <v>149</v>
      </c>
      <c r="P55" s="86" t="s">
        <v>5</v>
      </c>
      <c r="Q55" s="89" t="s">
        <v>97</v>
      </c>
      <c r="R55" s="89"/>
      <c r="S55" s="88" t="s">
        <v>29</v>
      </c>
      <c r="Y55" s="54"/>
    </row>
    <row r="56" spans="3:35" ht="16.8" x14ac:dyDescent="0.35">
      <c r="C56" s="1" t="s">
        <v>152</v>
      </c>
      <c r="D56" s="10">
        <v>1.5</v>
      </c>
      <c r="E56" s="1" t="s">
        <v>157</v>
      </c>
      <c r="F56" s="1" t="s">
        <v>158</v>
      </c>
      <c r="G56" s="10">
        <v>18</v>
      </c>
      <c r="H56" s="1" t="s">
        <v>77</v>
      </c>
      <c r="I56" s="1" t="s">
        <v>166</v>
      </c>
      <c r="J56" s="1" t="s">
        <v>177</v>
      </c>
      <c r="K56" s="1">
        <f>G59*G56*D56</f>
        <v>9</v>
      </c>
      <c r="L56" s="1" t="s">
        <v>79</v>
      </c>
      <c r="M56" s="1" t="s">
        <v>168</v>
      </c>
      <c r="N56" s="1" t="s">
        <v>170</v>
      </c>
      <c r="O56" s="1">
        <f>0.5*G59*G56*D56^2</f>
        <v>6.75</v>
      </c>
      <c r="P56" s="1" t="s">
        <v>173</v>
      </c>
      <c r="Q56" s="51" t="s">
        <v>174</v>
      </c>
      <c r="R56" s="51"/>
      <c r="S56" s="1">
        <f>O56*(D56/3)+O57*(D56/2)</f>
        <v>6.75</v>
      </c>
    </row>
    <row r="57" spans="3:35" ht="15.6" x14ac:dyDescent="0.35">
      <c r="C57" s="1" t="s">
        <v>153</v>
      </c>
      <c r="D57" s="69">
        <f>J22</f>
        <v>0.2</v>
      </c>
      <c r="E57" s="1" t="s">
        <v>157</v>
      </c>
      <c r="F57" s="1" t="s">
        <v>156</v>
      </c>
      <c r="G57" s="10">
        <v>30</v>
      </c>
      <c r="H57" s="1" t="s">
        <v>78</v>
      </c>
      <c r="I57" s="1" t="s">
        <v>160</v>
      </c>
      <c r="J57" s="1" t="s">
        <v>179</v>
      </c>
      <c r="K57" s="1">
        <f>G59*AG23</f>
        <v>3</v>
      </c>
      <c r="L57" s="1" t="s">
        <v>162</v>
      </c>
      <c r="M57" s="1" t="s">
        <v>169</v>
      </c>
      <c r="N57" s="1" t="s">
        <v>172</v>
      </c>
      <c r="O57" s="1">
        <f>G59*AG23*D56</f>
        <v>4.5</v>
      </c>
      <c r="P57" s="1" t="s">
        <v>173</v>
      </c>
      <c r="Q57" s="51" t="s">
        <v>175</v>
      </c>
      <c r="R57" s="51"/>
      <c r="S57" s="90">
        <f>1.35*S56</f>
        <v>9.1125000000000007</v>
      </c>
    </row>
    <row r="58" spans="3:35" ht="15.6" x14ac:dyDescent="0.35">
      <c r="F58" s="1" t="s">
        <v>154</v>
      </c>
      <c r="G58" s="10">
        <v>0</v>
      </c>
      <c r="H58" s="1"/>
      <c r="I58" s="1" t="s">
        <v>163</v>
      </c>
      <c r="J58" s="1" t="s">
        <v>178</v>
      </c>
      <c r="K58" s="1">
        <f>K56+K57</f>
        <v>12</v>
      </c>
      <c r="L58" s="1" t="s">
        <v>165</v>
      </c>
      <c r="M58" s="1" t="s">
        <v>163</v>
      </c>
      <c r="N58" s="1" t="s">
        <v>171</v>
      </c>
      <c r="O58" s="1">
        <f>O56+O57</f>
        <v>11.25</v>
      </c>
      <c r="P58" s="1" t="s">
        <v>173</v>
      </c>
      <c r="R58" s="87"/>
    </row>
    <row r="59" spans="3:35" x14ac:dyDescent="0.3">
      <c r="F59" s="1" t="s">
        <v>155</v>
      </c>
      <c r="G59" s="1">
        <f>(TAN(RADIANS(45-G57/2)))^2</f>
        <v>0.33333333333333331</v>
      </c>
    </row>
  </sheetData>
  <mergeCells count="185">
    <mergeCell ref="Q56:R56"/>
    <mergeCell ref="Q57:R57"/>
    <mergeCell ref="Q54:S54"/>
    <mergeCell ref="C53:S53"/>
    <mergeCell ref="C54:E54"/>
    <mergeCell ref="F54:H54"/>
    <mergeCell ref="I54:L54"/>
    <mergeCell ref="M54:P54"/>
    <mergeCell ref="Q55:R55"/>
    <mergeCell ref="U51:V51"/>
    <mergeCell ref="W38:AG38"/>
    <mergeCell ref="AA25:AB25"/>
    <mergeCell ref="AA26:AB26"/>
    <mergeCell ref="W23:X23"/>
    <mergeCell ref="W24:X24"/>
    <mergeCell ref="W25:X25"/>
    <mergeCell ref="AA27:AB27"/>
    <mergeCell ref="AA28:AB28"/>
    <mergeCell ref="U50:V50"/>
    <mergeCell ref="V16:W16"/>
    <mergeCell ref="AB15:AE15"/>
    <mergeCell ref="X14:AA14"/>
    <mergeCell ref="X15:AA15"/>
    <mergeCell ref="X16:AA16"/>
    <mergeCell ref="U5:U12"/>
    <mergeCell ref="U13:U16"/>
    <mergeCell ref="AE24:AF24"/>
    <mergeCell ref="AA22:AB22"/>
    <mergeCell ref="AA24:AB24"/>
    <mergeCell ref="V5:W5"/>
    <mergeCell ref="V6:W6"/>
    <mergeCell ref="V7:W7"/>
    <mergeCell ref="V8:W8"/>
    <mergeCell ref="V9:W9"/>
    <mergeCell ref="V10:W10"/>
    <mergeCell ref="AJ11:AM11"/>
    <mergeCell ref="AJ12:AM12"/>
    <mergeCell ref="AJ13:AM13"/>
    <mergeCell ref="AF9:AI9"/>
    <mergeCell ref="AF10:AI10"/>
    <mergeCell ref="AF11:AI11"/>
    <mergeCell ref="AF12:AI12"/>
    <mergeCell ref="AF13:AI13"/>
    <mergeCell ref="X13:AA13"/>
    <mergeCell ref="X5:AA5"/>
    <mergeCell ref="X6:AA6"/>
    <mergeCell ref="X7:AA7"/>
    <mergeCell ref="X8:AA8"/>
    <mergeCell ref="V11:W11"/>
    <mergeCell ref="V12:W12"/>
    <mergeCell ref="V13:W13"/>
    <mergeCell ref="AJ14:AM14"/>
    <mergeCell ref="AJ15:AM15"/>
    <mergeCell ref="AJ16:AM16"/>
    <mergeCell ref="AJ5:AM5"/>
    <mergeCell ref="AJ6:AM6"/>
    <mergeCell ref="AJ7:AM7"/>
    <mergeCell ref="AJ8:AM8"/>
    <mergeCell ref="AJ9:AM9"/>
    <mergeCell ref="AJ10:AM10"/>
    <mergeCell ref="U3:W3"/>
    <mergeCell ref="U4:W4"/>
    <mergeCell ref="AB3:AC3"/>
    <mergeCell ref="AD3:AE3"/>
    <mergeCell ref="AB4:AC4"/>
    <mergeCell ref="AD4:AE4"/>
    <mergeCell ref="X1:AM1"/>
    <mergeCell ref="AJ3:AM3"/>
    <mergeCell ref="AJ4:AM4"/>
    <mergeCell ref="AB2:AE2"/>
    <mergeCell ref="AF2:AI2"/>
    <mergeCell ref="X3:AA3"/>
    <mergeCell ref="X4:AA4"/>
    <mergeCell ref="X2:AA2"/>
    <mergeCell ref="AJ2:AM2"/>
    <mergeCell ref="AF14:AI14"/>
    <mergeCell ref="AF3:AI3"/>
    <mergeCell ref="AF4:AI4"/>
    <mergeCell ref="AF5:AI5"/>
    <mergeCell ref="AF6:AI6"/>
    <mergeCell ref="AF7:AI7"/>
    <mergeCell ref="AF8:AI8"/>
    <mergeCell ref="AB10:AE10"/>
    <mergeCell ref="AB11:AE11"/>
    <mergeCell ref="AB12:AE12"/>
    <mergeCell ref="AB13:AE13"/>
    <mergeCell ref="AB14:AE14"/>
    <mergeCell ref="AB5:AE5"/>
    <mergeCell ref="AB6:AE6"/>
    <mergeCell ref="AB7:AE7"/>
    <mergeCell ref="AB8:AE8"/>
    <mergeCell ref="AB9:AE9"/>
    <mergeCell ref="X10:AA10"/>
    <mergeCell ref="X11:AA11"/>
    <mergeCell ref="X12:AA12"/>
    <mergeCell ref="H11:J11"/>
    <mergeCell ref="E26:H26"/>
    <mergeCell ref="E27:H27"/>
    <mergeCell ref="E28:H28"/>
    <mergeCell ref="E29:H29"/>
    <mergeCell ref="E30:H30"/>
    <mergeCell ref="M18:N18"/>
    <mergeCell ref="E20:H20"/>
    <mergeCell ref="E21:H21"/>
    <mergeCell ref="E22:H22"/>
    <mergeCell ref="E23:H23"/>
    <mergeCell ref="E24:H24"/>
    <mergeCell ref="E25:H25"/>
    <mergeCell ref="E18:H18"/>
    <mergeCell ref="AA29:AB29"/>
    <mergeCell ref="W22:X22"/>
    <mergeCell ref="U21:Y21"/>
    <mergeCell ref="AA21:AC21"/>
    <mergeCell ref="AA23:AB23"/>
    <mergeCell ref="V14:W14"/>
    <mergeCell ref="V15:W15"/>
    <mergeCell ref="B3:S3"/>
    <mergeCell ref="N16:P16"/>
    <mergeCell ref="N10:P10"/>
    <mergeCell ref="N11:P11"/>
    <mergeCell ref="N12:P12"/>
    <mergeCell ref="N13:P13"/>
    <mergeCell ref="N14:P14"/>
    <mergeCell ref="N15:P15"/>
    <mergeCell ref="N5:P5"/>
    <mergeCell ref="N6:P6"/>
    <mergeCell ref="N7:P7"/>
    <mergeCell ref="N8:P8"/>
    <mergeCell ref="N9:P9"/>
    <mergeCell ref="H12:J12"/>
    <mergeCell ref="H13:J13"/>
    <mergeCell ref="H14:J14"/>
    <mergeCell ref="H15:J15"/>
    <mergeCell ref="H16:J16"/>
    <mergeCell ref="H5:J5"/>
    <mergeCell ref="H6:J6"/>
    <mergeCell ref="H7:J7"/>
    <mergeCell ref="H8:J8"/>
    <mergeCell ref="H9:J9"/>
    <mergeCell ref="H10:J10"/>
    <mergeCell ref="B4:G4"/>
    <mergeCell ref="H4:M4"/>
    <mergeCell ref="N4:S4"/>
    <mergeCell ref="B5:D5"/>
    <mergeCell ref="B6:D6"/>
    <mergeCell ref="B7:D7"/>
    <mergeCell ref="AE21:AG21"/>
    <mergeCell ref="AE22:AF22"/>
    <mergeCell ref="AE23:AF23"/>
    <mergeCell ref="B8:D8"/>
    <mergeCell ref="B9:D9"/>
    <mergeCell ref="B10:D10"/>
    <mergeCell ref="B11:D11"/>
    <mergeCell ref="B12:D12"/>
    <mergeCell ref="B13:D13"/>
    <mergeCell ref="E17:K17"/>
    <mergeCell ref="E19:H19"/>
    <mergeCell ref="AF15:AI15"/>
    <mergeCell ref="AF16:AI16"/>
    <mergeCell ref="AB16:AE16"/>
    <mergeCell ref="X9:AA9"/>
    <mergeCell ref="AI21:AK21"/>
    <mergeCell ref="AI22:AJ22"/>
    <mergeCell ref="AI23:AJ23"/>
    <mergeCell ref="U32:AD32"/>
    <mergeCell ref="U33:V33"/>
    <mergeCell ref="W33:X33"/>
    <mergeCell ref="U34:V34"/>
    <mergeCell ref="U35:V35"/>
    <mergeCell ref="U36:V36"/>
    <mergeCell ref="W34:X34"/>
    <mergeCell ref="W35:X35"/>
    <mergeCell ref="W36:X36"/>
    <mergeCell ref="Y33:Z33"/>
    <mergeCell ref="AA33:AB33"/>
    <mergeCell ref="AC33:AD33"/>
    <mergeCell ref="Y34:Z34"/>
    <mergeCell ref="Y35:Z35"/>
    <mergeCell ref="Y36:Z36"/>
    <mergeCell ref="AA34:AB34"/>
    <mergeCell ref="AC34:AD34"/>
    <mergeCell ref="AA35:AB35"/>
    <mergeCell ref="AC35:AD35"/>
    <mergeCell ref="AA36:AB36"/>
    <mergeCell ref="AC36:AD36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Dove Group</dc:creator>
  <cp:lastModifiedBy>Dove Group</cp:lastModifiedBy>
  <dcterms:created xsi:type="dcterms:W3CDTF">2025-09-04T07:09:29Z</dcterms:created>
  <dcterms:modified xsi:type="dcterms:W3CDTF">2025-09-08T14:02:45Z</dcterms:modified>
</cp:coreProperties>
</file>